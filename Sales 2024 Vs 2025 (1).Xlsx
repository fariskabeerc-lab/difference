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C7A5AA-474E-4E54-AD74-910C6FF10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 Vs 2025" sheetId="2" r:id="rId1"/>
    <sheet name="2025" sheetId="3" r:id="rId2"/>
    <sheet name="2024" sheetId="1" r:id="rId3"/>
    <sheet name="202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F1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C15" i="2"/>
  <c r="C3" i="2"/>
  <c r="C4" i="2"/>
  <c r="C5" i="2"/>
  <c r="C6" i="2"/>
  <c r="C7" i="2"/>
  <c r="C8" i="2"/>
  <c r="C9" i="2"/>
  <c r="C10" i="2"/>
  <c r="C11" i="2"/>
  <c r="C12" i="2"/>
  <c r="C13" i="2"/>
  <c r="C2" i="2"/>
</calcChain>
</file>

<file path=xl/sharedStrings.xml><?xml version="1.0" encoding="utf-8"?>
<sst xmlns="http://schemas.openxmlformats.org/spreadsheetml/2006/main" count="131" uniqueCount="68">
  <si>
    <t>Total Sales</t>
  </si>
  <si>
    <t>Margin (%)</t>
  </si>
  <si>
    <t>Period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</si>
  <si>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</si>
  <si>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</si>
  <si>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</si>
  <si>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</si>
  <si>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</si>
  <si>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</si>
  <si>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</si>
  <si>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</si>
  <si>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Company Name</t>
  </si>
  <si>
    <t>AZHAR AL MADINA HYPERMARKET</t>
  </si>
  <si>
    <t>AZHAR GENERAL TRADING</t>
  </si>
  <si>
    <t>BLUE PEARL SUPERMARKET</t>
  </si>
  <si>
    <t>FIDA AL MADINA HYPERMARKET</t>
  </si>
  <si>
    <t>HADEQAT AL MADINA HYPERMARKET LLC</t>
  </si>
  <si>
    <t>HILAL AL MADINA HYPERMARKET LLC</t>
  </si>
  <si>
    <t>JAIS SUPERMARKET LLC</t>
  </si>
  <si>
    <t>SABAH AL MADINA SUPERMARKET LLC</t>
  </si>
  <si>
    <t>SAFA AL MADINA HYPERMARKET LLC-OUD MEHTA</t>
  </si>
  <si>
    <t>SAFA AL MADINA SUPERMARKET</t>
  </si>
  <si>
    <t>SAHAT AL MADINA -  DEIRA</t>
  </si>
  <si>
    <t>SHAMS AL MADINA HYPERMARKET L.L.C (BRANCH)</t>
  </si>
  <si>
    <t>SHAMS AL MADINA HYPERMARKET L.L.C BR1(PORT SAEED)</t>
  </si>
  <si>
    <t>SHAMS AL MADINA HYPERMARKET LLC</t>
  </si>
  <si>
    <t>TAYTAY TIANGGE DEPARTMENT STORE CO L.L.C</t>
  </si>
  <si>
    <t>Grand Total</t>
  </si>
  <si>
    <t>AZHAR</t>
  </si>
  <si>
    <t>AZHAR GT</t>
  </si>
  <si>
    <t>BLUE PEARL</t>
  </si>
  <si>
    <t>FIDA</t>
  </si>
  <si>
    <t xml:space="preserve">HADEQAT </t>
  </si>
  <si>
    <t>HILAL</t>
  </si>
  <si>
    <t xml:space="preserve">JAIS </t>
  </si>
  <si>
    <t>SABAH</t>
  </si>
  <si>
    <t>OUD MEHTA</t>
  </si>
  <si>
    <t xml:space="preserve">SAFA </t>
  </si>
  <si>
    <t xml:space="preserve">SAHAT </t>
  </si>
  <si>
    <t>LIWAN</t>
  </si>
  <si>
    <t>PORT SAEED</t>
  </si>
  <si>
    <t>SALEM MALL</t>
  </si>
  <si>
    <t xml:space="preserve">TAYTAY </t>
  </si>
  <si>
    <t>Branch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</si>
  <si>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</si>
  <si>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</si>
  <si>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</si>
  <si>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</si>
  <si>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</si>
  <si>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</si>
  <si>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</si>
  <si>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</si>
  <si>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AL MADINA SUPERSTORE L.L.C</t>
  </si>
  <si>
    <t>SUPERSTORE</t>
  </si>
  <si>
    <t xml:space="preserve">AZHAR </t>
  </si>
  <si>
    <t xml:space="preserve">BLUE PEARL </t>
  </si>
  <si>
    <t xml:space="preserve">FIDA </t>
  </si>
  <si>
    <t xml:space="preserve">HILAL </t>
  </si>
  <si>
    <t xml:space="preserve">SABAH </t>
  </si>
  <si>
    <t>2023 01-JAN to 31-AUG Total Sales</t>
  </si>
  <si>
    <t>2023 01-JAN to 31-AUG Avg Sales</t>
  </si>
  <si>
    <t>2023 01-JAN to 31-AUG Mar(%)</t>
  </si>
  <si>
    <t>2024 01-JAN to 31-AUG Total Sales</t>
  </si>
  <si>
    <t>2024 01-JAN to 31-AUG Avg Sales</t>
  </si>
  <si>
    <t>2024 01-JAN to 31-AUG Mar(%)</t>
  </si>
  <si>
    <t>2025 01-JAN to 31-AUG Total Sales</t>
  </si>
  <si>
    <t>2025 01-JAN to 31-AUG Avg Sales</t>
  </si>
  <si>
    <t>2025 01-JAN to 31-AUG Mar(%)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</si>
</sst>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201F35"/>
      <name val="Arial Narrow"/>
      <family val="2"/>
    </font>
    <font>
      <b/>
      <sz val="11"/>
      <color rgb="FF201F35"/>
      <name val="Arial Narrow"/>
      <family val="2"/>
    </font>
    <font>
      <b/>
      <sz val="16"/>
      <color rgb="FFFF0000"/>
      <name val="Arial Narrow"/>
      <family val="2"/>
    </font>
    <font>
      <b/>
      <sz val="15.05"/>
      <color rgb="FF201F35"/>
      <name val="Tahoma"/>
      <family val="2"/>
    </font>
    <font>
      <sz val="15.05"/>
      <color rgb="FF201F35"/>
      <name val="Tahoma"/>
      <family val="2"/>
    </font>
    <font>
      <b/>
      <sz val="16"/>
      <name val="Arial Narrow"/>
      <family val="2"/>
    </font>
    <font>
      <b/>
      <sz val="16"/>
      <color rgb="FF0000CC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  <xf numFmtId="4" fontId="2" fillId="2" borderId="1" xfId="0" applyNumberFormat="1" applyFont="1" applyFill="1" applyBorder="1" applyAlignment="1">
      <alignment vertical="center" readingOrder="1"/>
    </xf>
    <xf numFmtId="4" fontId="2" fillId="3" borderId="1" xfId="0" applyNumberFormat="1" applyFont="1" applyFill="1" applyBorder="1" applyAlignment="1">
      <alignment vertical="center" readingOrder="1"/>
    </xf>
    <xf numFmtId="4" fontId="2" fillId="4" borderId="1" xfId="0" applyNumberFormat="1" applyFont="1" applyFill="1" applyBorder="1" applyAlignment="1">
      <alignment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vertical="center" readingOrder="1"/>
    </xf>
    <xf numFmtId="49" fontId="5" fillId="2" borderId="4" xfId="0" applyNumberFormat="1" applyFont="1" applyFill="1" applyBorder="1" applyAlignment="1">
      <alignment vertical="center" readingOrder="1"/>
    </xf>
    <xf numFmtId="4" fontId="6" fillId="3" borderId="4" xfId="0" applyNumberFormat="1" applyFont="1" applyFill="1" applyBorder="1" applyAlignment="1">
      <alignment vertical="center" readingOrder="1"/>
    </xf>
    <xf numFmtId="0" fontId="6" fillId="2" borderId="4" xfId="0" applyFont="1" applyFill="1" applyBorder="1" applyAlignment="1">
      <alignment vertical="center" readingOrder="1"/>
    </xf>
    <xf numFmtId="4" fontId="6" fillId="4" borderId="4" xfId="0" applyNumberFormat="1" applyFont="1" applyFill="1" applyBorder="1" applyAlignment="1">
      <alignment vertical="center" readingOrder="1"/>
    </xf>
    <xf numFmtId="0" fontId="4" fillId="5" borderId="0" xfId="0" applyFont="1" applyFill="1"/>
    <xf numFmtId="49" fontId="4" fillId="5" borderId="2" xfId="0" applyNumberFormat="1" applyFont="1" applyFill="1" applyBorder="1" applyAlignment="1">
      <alignment horizontal="left" vertical="center" readingOrder="1"/>
    </xf>
    <xf numFmtId="0" fontId="7" fillId="5" borderId="0" xfId="0" applyFont="1" applyFill="1"/>
    <xf numFmtId="4" fontId="4" fillId="5" borderId="3" xfId="0" applyNumberFormat="1" applyFont="1" applyFill="1" applyBorder="1" applyAlignment="1">
      <alignment horizontal="center" vertical="center" readingOrder="1"/>
    </xf>
    <xf numFmtId="49" fontId="7" fillId="5" borderId="2" xfId="0" applyNumberFormat="1" applyFont="1" applyFill="1" applyBorder="1" applyAlignment="1">
      <alignment horizontal="left" vertical="center" readingOrder="1"/>
    </xf>
    <xf numFmtId="49" fontId="7" fillId="5" borderId="1" xfId="0" applyNumberFormat="1" applyFont="1" applyFill="1" applyBorder="1" applyAlignment="1">
      <alignment vertical="center" readingOrder="1"/>
    </xf>
    <xf numFmtId="49" fontId="8" fillId="5" borderId="2" xfId="0" applyNumberFormat="1" applyFont="1" applyFill="1" applyBorder="1" applyAlignment="1">
      <alignment horizontal="left" vertical="center" readingOrder="1"/>
    </xf>
    <xf numFmtId="4" fontId="4" fillId="5" borderId="1" xfId="0" applyNumberFormat="1" applyFont="1" applyFill="1" applyBorder="1" applyAlignment="1">
      <alignment horizontal="center" vertical="center" readingOrder="1"/>
    </xf>
    <xf numFmtId="4" fontId="4" fillId="5" borderId="6" xfId="0" applyNumberFormat="1" applyFont="1" applyFill="1" applyBorder="1" applyAlignment="1">
      <alignment horizontal="center" vertical="center" readingOrder="1"/>
    </xf>
    <xf numFmtId="4" fontId="4" fillId="5" borderId="8" xfId="0" applyNumberFormat="1" applyFont="1" applyFill="1" applyBorder="1" applyAlignment="1">
      <alignment horizontal="center" vertical="center" readingOrder="1"/>
    </xf>
    <xf numFmtId="4" fontId="4" fillId="5" borderId="9" xfId="0" applyNumberFormat="1" applyFont="1" applyFill="1" applyBorder="1" applyAlignment="1">
      <alignment horizontal="center" vertical="center" readingOrder="1"/>
    </xf>
    <xf numFmtId="4" fontId="8" fillId="5" borderId="1" xfId="0" applyNumberFormat="1" applyFont="1" applyFill="1" applyBorder="1" applyAlignment="1">
      <alignment horizontal="center" vertical="center" readingOrder="1"/>
    </xf>
    <xf numFmtId="4" fontId="8" fillId="5" borderId="6" xfId="0" applyNumberFormat="1" applyFont="1" applyFill="1" applyBorder="1" applyAlignment="1">
      <alignment horizontal="center" vertical="center" readingOrder="1"/>
    </xf>
    <xf numFmtId="4" fontId="8" fillId="5" borderId="9" xfId="0" applyNumberFormat="1" applyFont="1" applyFill="1" applyBorder="1" applyAlignment="1">
      <alignment horizontal="center" vertical="center" readingOrder="1"/>
    </xf>
    <xf numFmtId="0" fontId="8" fillId="5" borderId="0" xfId="0" applyFont="1" applyFill="1"/>
    <xf numFmtId="49" fontId="7" fillId="6" borderId="3" xfId="0" applyNumberFormat="1" applyFont="1" applyFill="1" applyBorder="1" applyAlignment="1">
      <alignment horizontal="center" vertical="center" readingOrder="1"/>
    </xf>
    <xf numFmtId="4" fontId="7" fillId="6" borderId="3" xfId="0" applyNumberFormat="1" applyFont="1" applyFill="1" applyBorder="1" applyAlignment="1">
      <alignment horizontal="center" vertical="center" readingOrder="1"/>
    </xf>
    <xf numFmtId="4" fontId="7" fillId="6" borderId="5" xfId="0" applyNumberFormat="1" applyFont="1" applyFill="1" applyBorder="1" applyAlignment="1">
      <alignment horizontal="center" vertical="center" readingOrder="1"/>
    </xf>
    <xf numFmtId="4" fontId="7" fillId="6" borderId="7" xfId="0" applyNumberFormat="1" applyFont="1" applyFill="1" applyBorder="1" applyAlignment="1">
      <alignment horizontal="center" vertical="center" readingOrder="1"/>
    </xf>
    <xf numFmtId="4" fontId="7" fillId="6" borderId="2" xfId="0" applyNumberFormat="1" applyFont="1" applyFill="1" applyBorder="1" applyAlignment="1">
      <alignment horizontal="center" vertical="center" readingOrder="1"/>
    </xf>
    <xf numFmtId="4" fontId="7" fillId="5" borderId="1" xfId="0" applyNumberFormat="1" applyFont="1" applyFill="1" applyBorder="1" applyAlignment="1">
      <alignment horizontal="center" vertical="center" readingOrder="1"/>
    </xf>
    <xf numFmtId="4" fontId="7" fillId="5" borderId="6" xfId="0" applyNumberFormat="1" applyFont="1" applyFill="1" applyBorder="1" applyAlignment="1">
      <alignment horizontal="center" vertical="center" readingOrder="1"/>
    </xf>
    <xf numFmtId="4" fontId="7" fillId="5" borderId="8" xfId="0" applyNumberFormat="1" applyFont="1" applyFill="1" applyBorder="1" applyAlignment="1">
      <alignment horizontal="center" vertical="center" readingOrder="1"/>
    </xf>
    <xf numFmtId="4" fontId="7" fillId="5" borderId="9" xfId="0" applyNumberFormat="1" applyFont="1" applyFill="1" applyBorder="1" applyAlignment="1">
      <alignment horizontal="center" vertical="center" readingOrder="1"/>
    </xf>
    <xf numFmtId="4" fontId="7" fillId="5" borderId="7" xfId="0" applyNumberFormat="1" applyFont="1" applyFill="1" applyBorder="1" applyAlignment="1">
      <alignment horizontal="center" vertical="center" readingOrder="1"/>
    </xf>
    <xf numFmtId="4" fontId="7" fillId="5" borderId="2" xfId="0" applyNumberFormat="1" applyFont="1" applyFill="1" applyBorder="1" applyAlignment="1">
      <alignment horizontal="center" vertical="center" readingOrder="1"/>
    </xf>
    <xf numFmtId="0" fontId="7" fillId="5" borderId="0" xfId="0" applyFont="1" applyFill="1" applyAlignment="1">
      <alignment horizontal="center"/>
    </xf>
    <xf numFmtId="4" fontId="7" fillId="6" borderId="0" xfId="0" applyNumberFormat="1" applyFont="1" applyFill="1" applyAlignment="1">
      <alignment horizontal="center" vertical="center" readingOrder="1"/>
    </xf>
    <xf numFmtId="4" fontId="8" fillId="5" borderId="8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4BD2-5E5D-4B36-93B4-77623CB37F3E}">
  <sheetPr>
    <outlinePr summaryBelow="0"/>
  </sheetPr>
  <dimension ref="A1:J17"/>
  <sheetViews>
    <sheetView showGridLines="0" tabSelected="1" workbookViewId="0">
      <pane ySplit="1" topLeftCell="A2" activePane="bottomLeft" state="frozen"/>
      <selection pane="bottomLeft" activeCell="B24" sqref="B24"/>
    </sheetView>
  </sheetViews>
  <sheetFormatPr defaultRowHeight="20.25" x14ac:dyDescent="0.3"/>
  <cols>
    <col min="1" max="1" width="18" style="16" customWidth="1"/>
    <col min="2" max="2" width="19.42578125" style="16" bestFit="1" customWidth="1"/>
    <col min="3" max="3" width="14.28515625" style="16" bestFit="1" customWidth="1"/>
    <col min="4" max="4" width="9.7109375" style="16" bestFit="1" customWidth="1"/>
    <col min="5" max="5" width="19.42578125" style="16" bestFit="1" customWidth="1"/>
    <col min="6" max="6" width="14.28515625" style="16" bestFit="1" customWidth="1"/>
    <col min="7" max="7" width="9.7109375" style="40" bestFit="1" customWidth="1"/>
    <col min="8" max="8" width="19.42578125" style="16" bestFit="1" customWidth="1"/>
    <col min="9" max="9" width="14.28515625" style="16" bestFit="1" customWidth="1"/>
    <col min="10" max="10" width="9.7109375" style="16" bestFit="1" customWidth="1"/>
    <col min="11" max="16384" width="9.140625" style="16"/>
  </cols>
  <sheetData>
    <row r="1" spans="1:10" x14ac:dyDescent="0.3">
      <c r="A1" s="29" t="s">
        <v>43</v>
      </c>
      <c r="B1" s="33" t="s">
        <v>59</v>
      </c>
      <c r="C1" s="41" t="s">
        <v>60</v>
      </c>
      <c r="D1" s="30" t="s">
        <v>61</v>
      </c>
      <c r="E1" s="32" t="s">
        <v>62</v>
      </c>
      <c r="F1" s="41" t="s">
        <v>63</v>
      </c>
      <c r="G1" s="30" t="s">
        <v>64</v>
      </c>
      <c r="H1" s="30" t="s">
        <v>65</v>
      </c>
      <c r="I1" s="41" t="s">
        <v>66</v>
      </c>
      <c r="J1" s="31" t="s">
        <v>67</v>
      </c>
    </row>
    <row r="2" spans="1:10" s="14" customFormat="1" x14ac:dyDescent="0.3">
      <c r="A2" s="15" t="s">
        <v>28</v>
      </c>
      <c r="B2" s="21">
        <v>35267055.520000003</v>
      </c>
      <c r="C2" s="21">
        <f>B2/243</f>
        <v>145131.91572016463</v>
      </c>
      <c r="D2" s="21">
        <v>19.952983007638402</v>
      </c>
      <c r="E2" s="23">
        <v>34639834.009999998</v>
      </c>
      <c r="F2" s="23">
        <f>E2/244</f>
        <v>141966.53282786885</v>
      </c>
      <c r="G2" s="17">
        <v>20.935453681176572</v>
      </c>
      <c r="H2" s="21">
        <v>31162845.370000001</v>
      </c>
      <c r="I2" s="22">
        <f>H2/243</f>
        <v>128242.1620164609</v>
      </c>
      <c r="J2" s="22">
        <v>21.386525404435492</v>
      </c>
    </row>
    <row r="3" spans="1:10" s="14" customFormat="1" x14ac:dyDescent="0.3">
      <c r="A3" s="15" t="s">
        <v>39</v>
      </c>
      <c r="B3" s="21">
        <v>11556513.300000001</v>
      </c>
      <c r="C3" s="21">
        <f t="shared" ref="C3:C15" si="0">B3/243</f>
        <v>47557.66790123457</v>
      </c>
      <c r="D3" s="21">
        <v>20.921980360633516</v>
      </c>
      <c r="E3" s="24">
        <v>13065728.25</v>
      </c>
      <c r="F3" s="23">
        <f t="shared" ref="F3:F15" si="1">E3/244</f>
        <v>53548.066598360652</v>
      </c>
      <c r="G3" s="21">
        <v>20.681681580971194</v>
      </c>
      <c r="H3" s="21">
        <v>10289632.43</v>
      </c>
      <c r="I3" s="22">
        <f t="shared" ref="I3:I17" si="2">H3/243</f>
        <v>42344.166378600821</v>
      </c>
      <c r="J3" s="22">
        <v>22.649822497109351</v>
      </c>
    </row>
    <row r="4" spans="1:10" s="14" customFormat="1" x14ac:dyDescent="0.3">
      <c r="A4" s="15" t="s">
        <v>32</v>
      </c>
      <c r="B4" s="21">
        <v>27933389.52</v>
      </c>
      <c r="C4" s="21">
        <f t="shared" si="0"/>
        <v>114952.22024691358</v>
      </c>
      <c r="D4" s="21">
        <v>19.766338919760283</v>
      </c>
      <c r="E4" s="24">
        <v>29616414.52</v>
      </c>
      <c r="F4" s="23">
        <f t="shared" si="1"/>
        <v>121378.74803278688</v>
      </c>
      <c r="G4" s="21">
        <v>17.882480536337386</v>
      </c>
      <c r="H4" s="21">
        <v>27783796.93</v>
      </c>
      <c r="I4" s="22">
        <f t="shared" si="2"/>
        <v>114336.61288065843</v>
      </c>
      <c r="J4" s="22">
        <v>19.717497910390897</v>
      </c>
    </row>
    <row r="5" spans="1:10" s="14" customFormat="1" x14ac:dyDescent="0.3">
      <c r="A5" s="15" t="s">
        <v>35</v>
      </c>
      <c r="B5" s="21">
        <v>8600547.9149999991</v>
      </c>
      <c r="C5" s="21">
        <f t="shared" si="0"/>
        <v>35393.201296296291</v>
      </c>
      <c r="D5" s="21">
        <v>17.650149434694477</v>
      </c>
      <c r="E5" s="24">
        <v>12060825.99</v>
      </c>
      <c r="F5" s="23">
        <f t="shared" si="1"/>
        <v>49429.614713114752</v>
      </c>
      <c r="G5" s="21">
        <v>17.438078334301547</v>
      </c>
      <c r="H5" s="21">
        <v>10570459.289999999</v>
      </c>
      <c r="I5" s="22">
        <f t="shared" si="2"/>
        <v>43499.832469135799</v>
      </c>
      <c r="J5" s="22">
        <v>18.754314748418089</v>
      </c>
    </row>
    <row r="6" spans="1:10" s="14" customFormat="1" x14ac:dyDescent="0.3">
      <c r="A6" s="15" t="s">
        <v>33</v>
      </c>
      <c r="B6" s="21">
        <v>14578191.25</v>
      </c>
      <c r="C6" s="21">
        <f t="shared" si="0"/>
        <v>59992.556584362137</v>
      </c>
      <c r="D6" s="21">
        <v>16.357191620736899</v>
      </c>
      <c r="E6" s="24">
        <v>14851756.73</v>
      </c>
      <c r="F6" s="23">
        <f t="shared" si="1"/>
        <v>60867.855450819676</v>
      </c>
      <c r="G6" s="21">
        <v>16.054232509637934</v>
      </c>
      <c r="H6" s="21">
        <v>13602032.890000001</v>
      </c>
      <c r="I6" s="22">
        <f t="shared" si="2"/>
        <v>55975.443991769549</v>
      </c>
      <c r="J6" s="22">
        <v>16.610845399889339</v>
      </c>
    </row>
    <row r="7" spans="1:10" s="14" customFormat="1" x14ac:dyDescent="0.3">
      <c r="A7" s="15" t="s">
        <v>38</v>
      </c>
      <c r="B7" s="21">
        <v>5597125.0219000001</v>
      </c>
      <c r="C7" s="21">
        <f t="shared" si="0"/>
        <v>23033.436304115228</v>
      </c>
      <c r="D7" s="21">
        <v>19.361897602067927</v>
      </c>
      <c r="E7" s="24">
        <v>5753112.3300000001</v>
      </c>
      <c r="F7" s="23">
        <f t="shared" si="1"/>
        <v>23578.329221311476</v>
      </c>
      <c r="G7" s="21">
        <v>19.102505537207197</v>
      </c>
      <c r="H7" s="21">
        <v>4564110.21</v>
      </c>
      <c r="I7" s="22">
        <f t="shared" si="2"/>
        <v>18782.346543209875</v>
      </c>
      <c r="J7" s="22">
        <v>19.791886620546791</v>
      </c>
    </row>
    <row r="8" spans="1:10" s="14" customFormat="1" x14ac:dyDescent="0.3">
      <c r="A8" s="15" t="s">
        <v>37</v>
      </c>
      <c r="B8" s="21">
        <v>9299600.1799999997</v>
      </c>
      <c r="C8" s="21">
        <f t="shared" si="0"/>
        <v>38269.959588477366</v>
      </c>
      <c r="D8" s="21">
        <v>19.169944322273004</v>
      </c>
      <c r="E8" s="24">
        <v>9948602.6899999995</v>
      </c>
      <c r="F8" s="23">
        <f t="shared" si="1"/>
        <v>40772.961844262296</v>
      </c>
      <c r="G8" s="21">
        <v>19.60086643685235</v>
      </c>
      <c r="H8" s="21">
        <v>9042951.5899999999</v>
      </c>
      <c r="I8" s="22">
        <f t="shared" si="2"/>
        <v>37213.792551440325</v>
      </c>
      <c r="J8" s="22">
        <v>19.830612690474439</v>
      </c>
    </row>
    <row r="9" spans="1:10" s="14" customFormat="1" x14ac:dyDescent="0.3">
      <c r="A9" s="15" t="s">
        <v>40</v>
      </c>
      <c r="B9" s="21">
        <v>10140998.983100001</v>
      </c>
      <c r="C9" s="21">
        <f t="shared" si="0"/>
        <v>41732.506103292188</v>
      </c>
      <c r="D9" s="21">
        <v>21.740514133510384</v>
      </c>
      <c r="E9" s="24">
        <v>10876887.59</v>
      </c>
      <c r="F9" s="23">
        <f t="shared" si="1"/>
        <v>44577.408155737707</v>
      </c>
      <c r="G9" s="21">
        <v>21.469132554490251</v>
      </c>
      <c r="H9" s="21">
        <v>10270157.4</v>
      </c>
      <c r="I9" s="22">
        <f t="shared" si="2"/>
        <v>42264.022222222222</v>
      </c>
      <c r="J9" s="22">
        <v>23.038895739806286</v>
      </c>
    </row>
    <row r="10" spans="1:10" s="14" customFormat="1" x14ac:dyDescent="0.3">
      <c r="A10" s="15" t="s">
        <v>29</v>
      </c>
      <c r="B10" s="21">
        <v>6760597.2412</v>
      </c>
      <c r="C10" s="21">
        <f t="shared" si="0"/>
        <v>27821.387823868314</v>
      </c>
      <c r="D10" s="21">
        <v>21.322192687581751</v>
      </c>
      <c r="E10" s="24">
        <v>6741894.6100000003</v>
      </c>
      <c r="F10" s="23">
        <f t="shared" si="1"/>
        <v>27630.715614754099</v>
      </c>
      <c r="G10" s="21">
        <v>21.366702259974957</v>
      </c>
      <c r="H10" s="21">
        <v>6337346.4100000001</v>
      </c>
      <c r="I10" s="22">
        <f t="shared" si="2"/>
        <v>26079.61485596708</v>
      </c>
      <c r="J10" s="22">
        <v>21.194329370737364</v>
      </c>
    </row>
    <row r="11" spans="1:10" s="14" customFormat="1" x14ac:dyDescent="0.3">
      <c r="A11" s="15" t="s">
        <v>34</v>
      </c>
      <c r="B11" s="21">
        <v>5483037.4458999997</v>
      </c>
      <c r="C11" s="21">
        <f t="shared" si="0"/>
        <v>22563.940106584359</v>
      </c>
      <c r="D11" s="21">
        <v>20.832366422267043</v>
      </c>
      <c r="E11" s="24">
        <v>6292322.8600000003</v>
      </c>
      <c r="F11" s="23">
        <f t="shared" si="1"/>
        <v>25788.208442622952</v>
      </c>
      <c r="G11" s="21">
        <v>23.058599447009303</v>
      </c>
      <c r="H11" s="21">
        <v>5889305.3399999999</v>
      </c>
      <c r="I11" s="22">
        <f t="shared" si="2"/>
        <v>24235.824444444443</v>
      </c>
      <c r="J11" s="22">
        <v>24.59588531200184</v>
      </c>
    </row>
    <row r="12" spans="1:10" s="28" customFormat="1" x14ac:dyDescent="0.3">
      <c r="A12" s="20" t="s">
        <v>31</v>
      </c>
      <c r="B12" s="25">
        <v>16316872.6941</v>
      </c>
      <c r="C12" s="25">
        <f t="shared" si="0"/>
        <v>67147.624255555551</v>
      </c>
      <c r="D12" s="25">
        <v>20.718004816709527</v>
      </c>
      <c r="E12" s="27">
        <v>17859351.690000001</v>
      </c>
      <c r="F12" s="42">
        <f t="shared" si="1"/>
        <v>73194.06430327869</v>
      </c>
      <c r="G12" s="25">
        <v>19.485303701413365</v>
      </c>
      <c r="H12" s="25">
        <v>17966957.48</v>
      </c>
      <c r="I12" s="26">
        <f t="shared" si="2"/>
        <v>73938.096625514401</v>
      </c>
      <c r="J12" s="26">
        <v>20.655234137616493</v>
      </c>
    </row>
    <row r="13" spans="1:10" s="28" customFormat="1" x14ac:dyDescent="0.3">
      <c r="A13" s="20" t="s">
        <v>30</v>
      </c>
      <c r="B13" s="25">
        <v>5358873.05</v>
      </c>
      <c r="C13" s="25">
        <f t="shared" si="0"/>
        <v>22052.97551440329</v>
      </c>
      <c r="D13" s="25">
        <v>20.339440528452151</v>
      </c>
      <c r="E13" s="27">
        <v>6148201.7800000003</v>
      </c>
      <c r="F13" s="42">
        <f t="shared" si="1"/>
        <v>25197.548278688526</v>
      </c>
      <c r="G13" s="25">
        <v>21.150035324637635</v>
      </c>
      <c r="H13" s="25">
        <v>6571452.2800000003</v>
      </c>
      <c r="I13" s="26">
        <f t="shared" si="2"/>
        <v>27043.013497942389</v>
      </c>
      <c r="J13" s="26">
        <v>21.821092102642492</v>
      </c>
    </row>
    <row r="14" spans="1:10" s="28" customFormat="1" x14ac:dyDescent="0.3">
      <c r="A14" s="20" t="s">
        <v>42</v>
      </c>
      <c r="B14" s="25"/>
      <c r="C14" s="25"/>
      <c r="D14" s="25"/>
      <c r="E14" s="27">
        <v>5533772.2400000002</v>
      </c>
      <c r="F14" s="42">
        <f t="shared" si="1"/>
        <v>22679.394426229508</v>
      </c>
      <c r="G14" s="25">
        <v>17.180513298465623</v>
      </c>
      <c r="H14" s="25">
        <v>6159775.7800000003</v>
      </c>
      <c r="I14" s="26">
        <f t="shared" si="2"/>
        <v>25348.871522633744</v>
      </c>
      <c r="J14" s="26">
        <v>19.378753698726353</v>
      </c>
    </row>
    <row r="15" spans="1:10" s="28" customFormat="1" x14ac:dyDescent="0.3">
      <c r="A15" s="20" t="s">
        <v>41</v>
      </c>
      <c r="B15" s="25">
        <v>26685848.5</v>
      </c>
      <c r="C15" s="25">
        <f t="shared" si="0"/>
        <v>109818.30658436214</v>
      </c>
      <c r="D15" s="25">
        <v>17.485720861751872</v>
      </c>
      <c r="E15" s="27">
        <v>33194831.219999999</v>
      </c>
      <c r="F15" s="42">
        <f t="shared" si="1"/>
        <v>136044.39024590162</v>
      </c>
      <c r="G15" s="25">
        <v>18.001439512365142</v>
      </c>
      <c r="H15" s="25">
        <v>34964501.799999997</v>
      </c>
      <c r="I15" s="26">
        <f t="shared" si="2"/>
        <v>143886.83868312757</v>
      </c>
      <c r="J15" s="26">
        <v>19.991914669294673</v>
      </c>
    </row>
    <row r="16" spans="1:10" x14ac:dyDescent="0.3">
      <c r="A16" s="18" t="s">
        <v>36</v>
      </c>
      <c r="B16" s="34"/>
      <c r="C16" s="34"/>
      <c r="D16" s="34"/>
      <c r="E16" s="37">
        <v>4640301.45</v>
      </c>
      <c r="F16" s="36">
        <f>E16/121</f>
        <v>38349.598760330577</v>
      </c>
      <c r="G16" s="34">
        <v>15.439658761824623</v>
      </c>
      <c r="H16" s="34">
        <v>9708622.4700000007</v>
      </c>
      <c r="I16" s="35">
        <f t="shared" si="2"/>
        <v>39953.178888888891</v>
      </c>
      <c r="J16" s="35">
        <v>18.221900891363013</v>
      </c>
    </row>
    <row r="17" spans="1:10" x14ac:dyDescent="0.3">
      <c r="A17" s="19" t="s">
        <v>53</v>
      </c>
      <c r="B17" s="34"/>
      <c r="C17" s="34"/>
      <c r="D17" s="34"/>
      <c r="E17" s="38"/>
      <c r="F17" s="38"/>
      <c r="G17" s="39"/>
      <c r="H17" s="34">
        <v>9789990.9700000007</v>
      </c>
      <c r="I17" s="35">
        <f t="shared" si="2"/>
        <v>40288.028683127573</v>
      </c>
      <c r="J17" s="35">
        <v>24.590726054571633</v>
      </c>
    </row>
  </sheetData>
  <pageMargins left="9.9999997764825804E-3" right="9.9999997764825804E-3" top="1.34740209579468" bottom="9.9999997764825804E-3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5B26-F384-434B-8A94-F7EF742713AF}">
  <dimension ref="A2:AH21"/>
  <sheetViews>
    <sheetView workbookViewId="0">
      <selection activeCell="A26" sqref="A26"/>
    </sheetView>
  </sheetViews>
  <sheetFormatPr defaultRowHeight="16.5" x14ac:dyDescent="0.3"/>
  <cols>
    <col min="1" max="1" width="55.140625" style="1" bestFit="1" customWidth="1"/>
    <col min="2" max="2" width="1.42578125" style="1" customWidth="1"/>
    <col min="3" max="3" width="9.7109375" style="1" bestFit="1" customWidth="1"/>
    <col min="4" max="4" width="2.5703125" style="1" customWidth="1"/>
    <col min="5" max="5" width="11.42578125" style="1" customWidth="1"/>
    <col min="6" max="6" width="12.28515625" style="1" bestFit="1" customWidth="1"/>
    <col min="7" max="7" width="2.42578125" style="1" customWidth="1"/>
    <col min="8" max="8" width="9.7109375" style="1" bestFit="1" customWidth="1"/>
    <col min="9" max="9" width="12.28515625" style="1" bestFit="1" customWidth="1"/>
    <col min="10" max="10" width="1.140625" style="1" customWidth="1"/>
    <col min="11" max="11" width="9.7109375" style="1" bestFit="1" customWidth="1"/>
    <col min="12" max="12" width="3.42578125" style="1" customWidth="1"/>
    <col min="13" max="13" width="12.28515625" style="1" bestFit="1" customWidth="1"/>
    <col min="14" max="14" width="0.85546875" style="1" customWidth="1"/>
    <col min="15" max="15" width="3.7109375" style="1" customWidth="1"/>
    <col min="16" max="16" width="9.7109375" style="1" bestFit="1" customWidth="1"/>
    <col min="17" max="17" width="12.28515625" style="1" bestFit="1" customWidth="1"/>
    <col min="18" max="18" width="3.42578125" style="1" customWidth="1"/>
    <col min="19" max="19" width="9.7109375" style="1" bestFit="1" customWidth="1"/>
    <col min="20" max="20" width="1.140625" style="1" customWidth="1"/>
    <col min="21" max="21" width="12.28515625" style="1" bestFit="1" customWidth="1"/>
    <col min="22" max="22" width="9.7109375" style="1" bestFit="1" customWidth="1"/>
    <col min="23" max="23" width="0.85546875" style="1" customWidth="1"/>
    <col min="24" max="24" width="12.28515625" style="1" bestFit="1" customWidth="1"/>
    <col min="25" max="25" width="1.28515625" style="1" customWidth="1"/>
    <col min="26" max="26" width="9.7109375" style="1" bestFit="1" customWidth="1"/>
    <col min="27" max="27" width="3.28515625" style="1" customWidth="1"/>
    <col min="28" max="28" width="12.28515625" style="1" bestFit="1" customWidth="1"/>
    <col min="29" max="29" width="9.7109375" style="1" bestFit="1" customWidth="1"/>
    <col min="30" max="30" width="12.28515625" style="1" bestFit="1" customWidth="1"/>
    <col min="31" max="31" width="9.7109375" style="1" bestFit="1" customWidth="1"/>
    <col min="32" max="32" width="13.42578125" style="1" bestFit="1" customWidth="1"/>
    <col min="33" max="33" width="9.7109375" style="1" bestFit="1" customWidth="1"/>
    <col min="34" max="34" width="3" style="1" customWidth="1"/>
    <col min="35" max="16384" width="9.140625" style="1"/>
  </cols>
  <sheetData>
    <row r="2" spans="1:34" x14ac:dyDescent="0.3">
      <c r="A2" s="2" t="s">
        <v>0</v>
      </c>
      <c r="B2" s="2"/>
      <c r="C2" s="2" t="s">
        <v>1</v>
      </c>
      <c r="D2" s="2"/>
      <c r="F2" s="2" t="s">
        <v>2</v>
      </c>
    </row>
    <row r="3" spans="1:34" x14ac:dyDescent="0.3">
      <c r="F3" s="2" t="s">
        <v>44</v>
      </c>
      <c r="G3" s="2"/>
      <c r="H3" s="2"/>
      <c r="I3" s="2" t="s">
        <v>45</v>
      </c>
      <c r="J3" s="2"/>
      <c r="K3" s="2"/>
      <c r="L3" s="2"/>
      <c r="M3" s="2" t="s">
        <v>46</v>
      </c>
      <c r="N3" s="2"/>
      <c r="O3" s="2"/>
      <c r="P3" s="2"/>
      <c r="Q3" s="2" t="s">
        <v>47</v>
      </c>
      <c r="R3" s="2"/>
      <c r="S3" s="2"/>
      <c r="T3" s="2"/>
      <c r="U3" s="2" t="s">
        <v>48</v>
      </c>
      <c r="V3" s="2"/>
      <c r="W3" s="2"/>
      <c r="X3" s="2" t="s">
        <v>49</v>
      </c>
      <c r="Y3" s="2"/>
      <c r="Z3" s="2"/>
      <c r="AA3" s="2"/>
      <c r="AB3" s="2" t="s">
        <v>50</v>
      </c>
      <c r="AC3" s="2"/>
      <c r="AD3" s="2" t="s">
        <v>51</v>
      </c>
      <c r="AE3" s="2"/>
      <c r="AF3" s="9" t="s">
        <v>27</v>
      </c>
      <c r="AG3" s="9"/>
      <c r="AH3" s="9"/>
    </row>
    <row r="4" spans="1:34" x14ac:dyDescent="0.3">
      <c r="A4" s="3" t="s">
        <v>11</v>
      </c>
      <c r="B4" s="3"/>
      <c r="C4" s="3"/>
      <c r="F4" s="4" t="s">
        <v>0</v>
      </c>
      <c r="G4" s="4"/>
      <c r="H4" s="4" t="s">
        <v>1</v>
      </c>
      <c r="I4" s="4" t="s">
        <v>0</v>
      </c>
      <c r="J4" s="4"/>
      <c r="K4" s="4" t="s">
        <v>1</v>
      </c>
      <c r="L4" s="4"/>
      <c r="M4" s="4" t="s">
        <v>0</v>
      </c>
      <c r="N4" s="4"/>
      <c r="O4" s="4"/>
      <c r="P4" s="4" t="s">
        <v>1</v>
      </c>
      <c r="Q4" s="4" t="s">
        <v>0</v>
      </c>
      <c r="R4" s="4"/>
      <c r="S4" s="4" t="s">
        <v>1</v>
      </c>
      <c r="T4" s="4"/>
      <c r="U4" s="4" t="s">
        <v>0</v>
      </c>
      <c r="V4" s="4" t="s">
        <v>1</v>
      </c>
      <c r="W4" s="4"/>
      <c r="X4" s="4" t="s">
        <v>0</v>
      </c>
      <c r="Y4" s="4"/>
      <c r="Z4" s="4" t="s">
        <v>1</v>
      </c>
      <c r="AA4" s="4"/>
      <c r="AB4" s="4" t="s">
        <v>0</v>
      </c>
      <c r="AC4" s="4" t="s">
        <v>1</v>
      </c>
      <c r="AD4" s="4" t="s">
        <v>0</v>
      </c>
      <c r="AE4" s="4" t="s">
        <v>1</v>
      </c>
      <c r="AF4" s="2" t="s">
        <v>0</v>
      </c>
      <c r="AG4" s="2" t="s">
        <v>1</v>
      </c>
      <c r="AH4" s="2"/>
    </row>
    <row r="5" spans="1:34" x14ac:dyDescent="0.3">
      <c r="A5" s="3" t="s">
        <v>52</v>
      </c>
      <c r="B5" s="3"/>
      <c r="C5" s="3"/>
      <c r="D5" s="3"/>
      <c r="E5" s="3"/>
      <c r="F5" s="5">
        <v>1106147.78</v>
      </c>
      <c r="G5" s="5"/>
      <c r="H5" s="5">
        <v>24.453847161362109</v>
      </c>
      <c r="I5" s="5">
        <v>1040946.69</v>
      </c>
      <c r="J5" s="5"/>
      <c r="K5" s="5">
        <v>24.988212489536807</v>
      </c>
      <c r="L5" s="5"/>
      <c r="M5" s="5">
        <v>1162436.67</v>
      </c>
      <c r="N5" s="5"/>
      <c r="O5" s="5"/>
      <c r="P5" s="5">
        <v>24.022658602124103</v>
      </c>
      <c r="Q5" s="5">
        <v>1140421.99</v>
      </c>
      <c r="R5" s="5"/>
      <c r="S5" s="5">
        <v>24.789884637352532</v>
      </c>
      <c r="T5" s="5"/>
      <c r="U5" s="5">
        <v>1215628.3</v>
      </c>
      <c r="V5" s="5">
        <v>24.187015167382988</v>
      </c>
      <c r="W5" s="5"/>
      <c r="X5" s="5">
        <v>1294948.08</v>
      </c>
      <c r="Y5" s="5"/>
      <c r="Z5" s="5">
        <v>24.053681881979394</v>
      </c>
      <c r="AA5" s="5"/>
      <c r="AB5" s="5">
        <v>1361601.65</v>
      </c>
      <c r="AC5" s="5">
        <v>25.11888007773786</v>
      </c>
      <c r="AD5" s="5">
        <v>1467859.81</v>
      </c>
      <c r="AE5" s="5">
        <v>25.025328195340396</v>
      </c>
      <c r="AF5" s="6">
        <v>9789990.9700000007</v>
      </c>
      <c r="AG5" s="6">
        <v>24.590726054571633</v>
      </c>
      <c r="AH5" s="6"/>
    </row>
    <row r="6" spans="1:34" x14ac:dyDescent="0.3">
      <c r="A6" s="3" t="s">
        <v>12</v>
      </c>
      <c r="B6" s="3"/>
      <c r="C6" s="3"/>
      <c r="D6" s="3"/>
      <c r="E6" s="3"/>
      <c r="F6" s="5">
        <v>4006696.61</v>
      </c>
      <c r="G6" s="5"/>
      <c r="H6" s="5">
        <v>20.951118200586695</v>
      </c>
      <c r="I6" s="5">
        <v>3566522.62</v>
      </c>
      <c r="J6" s="5"/>
      <c r="K6" s="5">
        <v>22.280740580302279</v>
      </c>
      <c r="L6" s="5"/>
      <c r="M6" s="5">
        <v>4501185.63</v>
      </c>
      <c r="N6" s="5"/>
      <c r="O6" s="5"/>
      <c r="P6" s="5">
        <v>22.412630294032105</v>
      </c>
      <c r="Q6" s="5">
        <v>3530574.36</v>
      </c>
      <c r="R6" s="5"/>
      <c r="S6" s="5">
        <v>22.316324842964079</v>
      </c>
      <c r="T6" s="5"/>
      <c r="U6" s="5">
        <v>3959675.77</v>
      </c>
      <c r="V6" s="5">
        <v>21.138077971974962</v>
      </c>
      <c r="W6" s="5"/>
      <c r="X6" s="5">
        <v>3942160.83</v>
      </c>
      <c r="Y6" s="5"/>
      <c r="Z6" s="5">
        <v>20.631202385520126</v>
      </c>
      <c r="AA6" s="5"/>
      <c r="AB6" s="5">
        <v>3584297.21</v>
      </c>
      <c r="AC6" s="5">
        <v>20.857434135602833</v>
      </c>
      <c r="AD6" s="5">
        <v>4071732.34</v>
      </c>
      <c r="AE6" s="5">
        <v>20.529810871605573</v>
      </c>
      <c r="AF6" s="6">
        <v>31162845.370000001</v>
      </c>
      <c r="AG6" s="6">
        <v>21.386525404435492</v>
      </c>
      <c r="AH6" s="6"/>
    </row>
    <row r="7" spans="1:34" x14ac:dyDescent="0.3">
      <c r="A7" s="3" t="s">
        <v>13</v>
      </c>
      <c r="B7" s="3"/>
      <c r="C7" s="3"/>
      <c r="D7" s="3"/>
      <c r="E7" s="3"/>
      <c r="F7" s="5">
        <v>785922.42</v>
      </c>
      <c r="G7" s="5"/>
      <c r="H7" s="7">
        <v>20.691160076588726</v>
      </c>
      <c r="I7" s="5">
        <v>738794.03</v>
      </c>
      <c r="J7" s="5"/>
      <c r="K7" s="5">
        <v>20.61564119569293</v>
      </c>
      <c r="L7" s="5"/>
      <c r="M7" s="5">
        <v>964879.2</v>
      </c>
      <c r="N7" s="5"/>
      <c r="O7" s="5"/>
      <c r="P7" s="7">
        <v>21.062418922493098</v>
      </c>
      <c r="Q7" s="5">
        <v>728534.08</v>
      </c>
      <c r="R7" s="5"/>
      <c r="S7" s="5">
        <v>21.804621247093891</v>
      </c>
      <c r="T7" s="5"/>
      <c r="U7" s="7">
        <v>826422.62</v>
      </c>
      <c r="V7" s="5">
        <v>21.100548191674619</v>
      </c>
      <c r="W7" s="5"/>
      <c r="X7" s="5">
        <v>773362.34</v>
      </c>
      <c r="Y7" s="5"/>
      <c r="Z7" s="5">
        <v>21.771056074439826</v>
      </c>
      <c r="AA7" s="5"/>
      <c r="AB7" s="7">
        <v>708602.37</v>
      </c>
      <c r="AC7" s="7">
        <v>21.816832633512078</v>
      </c>
      <c r="AD7" s="7">
        <v>810829.35</v>
      </c>
      <c r="AE7" s="7">
        <v>20.819428662763627</v>
      </c>
      <c r="AF7" s="8">
        <v>6337346.4100000001</v>
      </c>
      <c r="AG7" s="6">
        <v>21.194329370737364</v>
      </c>
      <c r="AH7" s="6"/>
    </row>
    <row r="8" spans="1:34" x14ac:dyDescent="0.3">
      <c r="A8" s="3" t="s">
        <v>14</v>
      </c>
      <c r="B8" s="3"/>
      <c r="C8" s="3"/>
      <c r="D8" s="3"/>
      <c r="E8" s="3"/>
      <c r="F8" s="5">
        <v>895772.15</v>
      </c>
      <c r="G8" s="5"/>
      <c r="H8" s="7">
        <v>22.235825181660314</v>
      </c>
      <c r="I8" s="5">
        <v>780385.9</v>
      </c>
      <c r="J8" s="5"/>
      <c r="K8" s="5">
        <v>22.422259769173174</v>
      </c>
      <c r="L8" s="5"/>
      <c r="M8" s="5">
        <v>900052.83</v>
      </c>
      <c r="N8" s="5"/>
      <c r="O8" s="5"/>
      <c r="P8" s="7">
        <v>21.061897233299071</v>
      </c>
      <c r="Q8" s="5">
        <v>778350.07999999996</v>
      </c>
      <c r="R8" s="5"/>
      <c r="S8" s="5">
        <v>21.521840956192875</v>
      </c>
      <c r="T8" s="5"/>
      <c r="U8" s="7">
        <v>834970.5</v>
      </c>
      <c r="V8" s="5">
        <v>21.757158091214002</v>
      </c>
      <c r="W8" s="5"/>
      <c r="X8" s="5">
        <v>808387.24</v>
      </c>
      <c r="Y8" s="5"/>
      <c r="Z8" s="5">
        <v>21.772942173110003</v>
      </c>
      <c r="AA8" s="5"/>
      <c r="AB8" s="7">
        <v>755247.65</v>
      </c>
      <c r="AC8" s="7">
        <v>22.364180795531109</v>
      </c>
      <c r="AD8" s="7">
        <v>818285.93</v>
      </c>
      <c r="AE8" s="7">
        <v>21.525020624514465</v>
      </c>
      <c r="AF8" s="8">
        <v>6571452.2800000003</v>
      </c>
      <c r="AG8" s="6">
        <v>21.821092102642492</v>
      </c>
      <c r="AH8" s="6"/>
    </row>
    <row r="9" spans="1:34" x14ac:dyDescent="0.3">
      <c r="A9" s="3" t="s">
        <v>15</v>
      </c>
      <c r="B9" s="3"/>
      <c r="C9" s="3"/>
      <c r="D9" s="3"/>
      <c r="E9" s="3"/>
      <c r="F9" s="5">
        <v>2201327.21</v>
      </c>
      <c r="G9" s="5"/>
      <c r="H9" s="7">
        <v>19.887188102308517</v>
      </c>
      <c r="I9" s="5">
        <v>1939562.88</v>
      </c>
      <c r="J9" s="5"/>
      <c r="K9" s="5">
        <v>20.824745470484569</v>
      </c>
      <c r="L9" s="5"/>
      <c r="M9" s="5">
        <v>2607733.4</v>
      </c>
      <c r="N9" s="5"/>
      <c r="O9" s="5"/>
      <c r="P9" s="7">
        <v>20.147878839915155</v>
      </c>
      <c r="Q9" s="5">
        <v>2044276.49</v>
      </c>
      <c r="R9" s="5"/>
      <c r="S9" s="5">
        <v>21.533718239845335</v>
      </c>
      <c r="T9" s="5"/>
      <c r="U9" s="7">
        <v>2436373.88</v>
      </c>
      <c r="V9" s="5">
        <v>20.217053262777547</v>
      </c>
      <c r="W9" s="5"/>
      <c r="X9" s="5">
        <v>2189800.0499999998</v>
      </c>
      <c r="Y9" s="5"/>
      <c r="Z9" s="5">
        <v>21.070858455775451</v>
      </c>
      <c r="AA9" s="5"/>
      <c r="AB9" s="7">
        <v>2169671.94</v>
      </c>
      <c r="AC9" s="7">
        <v>21.077162812918161</v>
      </c>
      <c r="AD9" s="7">
        <v>2378211.63</v>
      </c>
      <c r="AE9" s="7">
        <v>20.710366818784752</v>
      </c>
      <c r="AF9" s="8">
        <v>17966957.48</v>
      </c>
      <c r="AG9" s="6">
        <v>20.655234137616493</v>
      </c>
      <c r="AH9" s="6"/>
    </row>
    <row r="10" spans="1:34" x14ac:dyDescent="0.3">
      <c r="A10" s="3" t="s">
        <v>16</v>
      </c>
      <c r="B10" s="3"/>
      <c r="C10" s="3"/>
      <c r="D10" s="3"/>
      <c r="E10" s="3"/>
      <c r="F10" s="5">
        <v>3488521.14</v>
      </c>
      <c r="G10" s="5"/>
      <c r="H10" s="7">
        <v>21.119758121918675</v>
      </c>
      <c r="I10" s="5">
        <v>4258864.13</v>
      </c>
      <c r="J10" s="5"/>
      <c r="K10" s="5">
        <v>16.41072335641757</v>
      </c>
      <c r="L10" s="5"/>
      <c r="M10" s="5">
        <v>3930305.34</v>
      </c>
      <c r="N10" s="5"/>
      <c r="O10" s="5"/>
      <c r="P10" s="7">
        <v>19.881614070727643</v>
      </c>
      <c r="Q10" s="5">
        <v>3080256.2</v>
      </c>
      <c r="R10" s="5"/>
      <c r="S10" s="5">
        <v>20.48804394907151</v>
      </c>
      <c r="T10" s="5"/>
      <c r="U10" s="7">
        <v>3369601.81</v>
      </c>
      <c r="V10" s="5">
        <v>20.641054136898152</v>
      </c>
      <c r="W10" s="5"/>
      <c r="X10" s="5">
        <v>3277497.47</v>
      </c>
      <c r="Y10" s="5"/>
      <c r="Z10" s="5">
        <v>19.828070463773692</v>
      </c>
      <c r="AA10" s="5"/>
      <c r="AB10" s="7">
        <v>3078991.84</v>
      </c>
      <c r="AC10" s="7">
        <v>20.524026874329099</v>
      </c>
      <c r="AD10" s="7">
        <v>3299759</v>
      </c>
      <c r="AE10" s="7">
        <v>19.782675159004036</v>
      </c>
      <c r="AF10" s="8">
        <v>27783796.93</v>
      </c>
      <c r="AG10" s="6">
        <v>19.717497910390897</v>
      </c>
      <c r="AH10" s="6"/>
    </row>
    <row r="11" spans="1:34" x14ac:dyDescent="0.3">
      <c r="A11" s="3" t="s">
        <v>17</v>
      </c>
      <c r="B11" s="3"/>
      <c r="C11" s="3"/>
      <c r="D11" s="3"/>
      <c r="E11" s="3"/>
      <c r="F11" s="5">
        <v>1547672.77</v>
      </c>
      <c r="G11" s="5"/>
      <c r="H11" s="7">
        <v>17.525936855502085</v>
      </c>
      <c r="I11" s="5">
        <v>1385085.33</v>
      </c>
      <c r="J11" s="5"/>
      <c r="K11" s="5">
        <v>18.273116920529365</v>
      </c>
      <c r="L11" s="5"/>
      <c r="M11" s="5">
        <v>1863022.17</v>
      </c>
      <c r="N11" s="5"/>
      <c r="O11" s="5"/>
      <c r="P11" s="7">
        <v>18.14096023881455</v>
      </c>
      <c r="Q11" s="5">
        <v>1435296.21</v>
      </c>
      <c r="R11" s="5"/>
      <c r="S11" s="5">
        <v>18.557548054836708</v>
      </c>
      <c r="T11" s="5"/>
      <c r="U11" s="7">
        <v>1571003.68</v>
      </c>
      <c r="V11" s="5">
        <v>18.241355042529243</v>
      </c>
      <c r="W11" s="5"/>
      <c r="X11" s="5">
        <v>1674036.6</v>
      </c>
      <c r="Y11" s="5"/>
      <c r="Z11" s="5">
        <v>18.287896919338561</v>
      </c>
      <c r="AA11" s="5"/>
      <c r="AB11" s="7">
        <v>2314576.65</v>
      </c>
      <c r="AC11" s="7">
        <v>10.890499353305064</v>
      </c>
      <c r="AD11" s="7">
        <v>1811339.48</v>
      </c>
      <c r="AE11" s="7">
        <v>15.787043050593697</v>
      </c>
      <c r="AF11" s="8">
        <v>13602032.890000001</v>
      </c>
      <c r="AG11" s="6">
        <v>16.610845399889339</v>
      </c>
      <c r="AH11" s="6"/>
    </row>
    <row r="12" spans="1:34" x14ac:dyDescent="0.3">
      <c r="A12" s="3" t="s">
        <v>18</v>
      </c>
      <c r="B12" s="3"/>
      <c r="C12" s="3"/>
      <c r="D12" s="3"/>
      <c r="E12" s="3"/>
      <c r="F12" s="5">
        <v>714322.13</v>
      </c>
      <c r="G12" s="5"/>
      <c r="H12" s="7">
        <v>23.542896900030243</v>
      </c>
      <c r="I12" s="5">
        <v>618101.31000000006</v>
      </c>
      <c r="J12" s="5"/>
      <c r="K12" s="5">
        <v>23.415056295544819</v>
      </c>
      <c r="L12" s="5"/>
      <c r="M12" s="5">
        <v>793757.57</v>
      </c>
      <c r="N12" s="5"/>
      <c r="O12" s="5"/>
      <c r="P12" s="7">
        <v>23.928734298559192</v>
      </c>
      <c r="Q12" s="5">
        <v>799157.36</v>
      </c>
      <c r="R12" s="5"/>
      <c r="S12" s="5">
        <v>24.847504539030961</v>
      </c>
      <c r="T12" s="5"/>
      <c r="U12" s="7">
        <v>805078.58</v>
      </c>
      <c r="V12" s="5">
        <v>25.190139538925504</v>
      </c>
      <c r="W12" s="5"/>
      <c r="X12" s="5">
        <v>674536.87</v>
      </c>
      <c r="Y12" s="5"/>
      <c r="Z12" s="5">
        <v>25.852114369967648</v>
      </c>
      <c r="AA12" s="5"/>
      <c r="AB12" s="7">
        <v>738943.56</v>
      </c>
      <c r="AC12" s="7">
        <v>25.149297599941193</v>
      </c>
      <c r="AD12" s="7">
        <v>745407.96</v>
      </c>
      <c r="AE12" s="7">
        <v>24.697551901645909</v>
      </c>
      <c r="AF12" s="8">
        <v>5889305.3399999999</v>
      </c>
      <c r="AG12" s="6">
        <v>24.59588531200184</v>
      </c>
      <c r="AH12" s="6"/>
    </row>
    <row r="13" spans="1:34" x14ac:dyDescent="0.3">
      <c r="A13" s="3" t="s">
        <v>19</v>
      </c>
      <c r="B13" s="3"/>
      <c r="C13" s="3"/>
      <c r="D13" s="3"/>
      <c r="E13" s="3"/>
      <c r="F13" s="5">
        <v>1341884.82</v>
      </c>
      <c r="G13" s="5"/>
      <c r="H13" s="7">
        <v>18.609514354592669</v>
      </c>
      <c r="I13" s="5">
        <v>1258856.73</v>
      </c>
      <c r="J13" s="5"/>
      <c r="K13" s="5">
        <v>18.825095640549979</v>
      </c>
      <c r="L13" s="5"/>
      <c r="M13" s="5">
        <v>1656077.23</v>
      </c>
      <c r="N13" s="5"/>
      <c r="O13" s="5"/>
      <c r="P13" s="7">
        <v>18.242074996707732</v>
      </c>
      <c r="Q13" s="5">
        <v>1254356.81</v>
      </c>
      <c r="R13" s="5"/>
      <c r="S13" s="5">
        <v>19.489606717246584</v>
      </c>
      <c r="T13" s="5"/>
      <c r="U13" s="7">
        <v>1353878.92</v>
      </c>
      <c r="V13" s="5">
        <v>19.229219995536972</v>
      </c>
      <c r="W13" s="5"/>
      <c r="X13" s="5">
        <v>1264958.46</v>
      </c>
      <c r="Y13" s="5"/>
      <c r="Z13" s="5">
        <v>18.702553291749993</v>
      </c>
      <c r="AA13" s="5"/>
      <c r="AB13" s="7">
        <v>1177571.73</v>
      </c>
      <c r="AC13" s="7">
        <v>19.002654165279594</v>
      </c>
      <c r="AD13" s="7">
        <v>1262874.5900000001</v>
      </c>
      <c r="AE13" s="7">
        <v>18.090168802905442</v>
      </c>
      <c r="AF13" s="8">
        <v>10570459.289999999</v>
      </c>
      <c r="AG13" s="6">
        <v>18.754314748418089</v>
      </c>
      <c r="AH13" s="6"/>
    </row>
    <row r="14" spans="1:34" x14ac:dyDescent="0.3">
      <c r="A14" s="3" t="s">
        <v>20</v>
      </c>
      <c r="B14" s="3"/>
      <c r="C14" s="3"/>
      <c r="D14" s="3"/>
      <c r="E14" s="3"/>
      <c r="F14" s="5">
        <v>1225898.47</v>
      </c>
      <c r="G14" s="5"/>
      <c r="H14" s="7">
        <v>18.08261593637522</v>
      </c>
      <c r="I14" s="5">
        <v>1103598.43</v>
      </c>
      <c r="J14" s="5"/>
      <c r="K14" s="5">
        <v>18.336462203919591</v>
      </c>
      <c r="L14" s="5"/>
      <c r="M14" s="5">
        <v>1194668.8999999999</v>
      </c>
      <c r="N14" s="5"/>
      <c r="O14" s="5"/>
      <c r="P14" s="7">
        <v>18.378070158183576</v>
      </c>
      <c r="Q14" s="5">
        <v>1176446.8700000001</v>
      </c>
      <c r="R14" s="5"/>
      <c r="S14" s="5">
        <v>18.706795071842045</v>
      </c>
      <c r="T14" s="5"/>
      <c r="U14" s="7">
        <v>1395109.45</v>
      </c>
      <c r="V14" s="5">
        <v>16.678601245228467</v>
      </c>
      <c r="W14" s="5"/>
      <c r="X14" s="5">
        <v>1230910.04</v>
      </c>
      <c r="Y14" s="5"/>
      <c r="Z14" s="5">
        <v>18.203725911602767</v>
      </c>
      <c r="AA14" s="5"/>
      <c r="AB14" s="7">
        <v>1154884.05</v>
      </c>
      <c r="AC14" s="7">
        <v>18.825152377851264</v>
      </c>
      <c r="AD14" s="7">
        <v>1227106.26</v>
      </c>
      <c r="AE14" s="7">
        <v>18.846178439347216</v>
      </c>
      <c r="AF14" s="8">
        <v>9708622.4700000007</v>
      </c>
      <c r="AG14" s="6">
        <v>18.221900891363013</v>
      </c>
      <c r="AH14" s="6"/>
    </row>
    <row r="15" spans="1:34" x14ac:dyDescent="0.3">
      <c r="A15" s="3" t="s">
        <v>21</v>
      </c>
      <c r="B15" s="3"/>
      <c r="C15" s="3"/>
      <c r="D15" s="3"/>
      <c r="E15" s="3"/>
      <c r="F15" s="5">
        <v>1189789.06</v>
      </c>
      <c r="G15" s="5"/>
      <c r="H15" s="7">
        <v>19.1713656704828</v>
      </c>
      <c r="I15" s="5">
        <v>1051273.02</v>
      </c>
      <c r="J15" s="5"/>
      <c r="K15" s="5">
        <v>19.016477242039372</v>
      </c>
      <c r="L15" s="5"/>
      <c r="M15" s="5">
        <v>1320433.82</v>
      </c>
      <c r="N15" s="5"/>
      <c r="O15" s="5"/>
      <c r="P15" s="7">
        <v>18.732039966986001</v>
      </c>
      <c r="Q15" s="5">
        <v>1136568.8400000001</v>
      </c>
      <c r="R15" s="5"/>
      <c r="S15" s="5">
        <v>20.704596265370075</v>
      </c>
      <c r="T15" s="5"/>
      <c r="U15" s="7">
        <v>1183018.3400000001</v>
      </c>
      <c r="V15" s="5">
        <v>20.401470014404005</v>
      </c>
      <c r="W15" s="5"/>
      <c r="X15" s="5">
        <v>1130830.72</v>
      </c>
      <c r="Y15" s="5"/>
      <c r="Z15" s="5">
        <v>20.513379049341708</v>
      </c>
      <c r="AA15" s="5"/>
      <c r="AB15" s="7">
        <v>1021052.82</v>
      </c>
      <c r="AC15" s="7">
        <v>20.704973950319239</v>
      </c>
      <c r="AD15" s="7">
        <v>1009984.97</v>
      </c>
      <c r="AE15" s="7">
        <v>19.590308834001757</v>
      </c>
      <c r="AF15" s="8">
        <v>9042951.5899999999</v>
      </c>
      <c r="AG15" s="6">
        <v>19.830612690474439</v>
      </c>
      <c r="AH15" s="6"/>
    </row>
    <row r="16" spans="1:34" x14ac:dyDescent="0.3">
      <c r="A16" s="3" t="s">
        <v>22</v>
      </c>
      <c r="B16" s="3"/>
      <c r="C16" s="3"/>
      <c r="D16" s="3"/>
      <c r="E16" s="3"/>
      <c r="F16" s="5">
        <v>656427.66</v>
      </c>
      <c r="G16" s="5"/>
      <c r="H16" s="7">
        <v>19.150088495661503</v>
      </c>
      <c r="I16" s="5">
        <v>607065.86</v>
      </c>
      <c r="J16" s="5"/>
      <c r="K16" s="5">
        <v>19.517856579844565</v>
      </c>
      <c r="L16" s="5"/>
      <c r="M16" s="5">
        <v>812719.91</v>
      </c>
      <c r="N16" s="5"/>
      <c r="O16" s="5"/>
      <c r="P16" s="7">
        <v>19.387681618381908</v>
      </c>
      <c r="Q16" s="5">
        <v>622624.51</v>
      </c>
      <c r="R16" s="5"/>
      <c r="S16" s="5">
        <v>20.195589714256514</v>
      </c>
      <c r="T16" s="5"/>
      <c r="U16" s="7">
        <v>629174.17000000004</v>
      </c>
      <c r="V16" s="5">
        <v>19.620499805324176</v>
      </c>
      <c r="W16" s="5"/>
      <c r="X16" s="5">
        <v>542409.35</v>
      </c>
      <c r="Y16" s="5"/>
      <c r="Z16" s="5">
        <v>19.392181771940326</v>
      </c>
      <c r="AA16" s="5"/>
      <c r="AB16" s="7">
        <v>421168.76</v>
      </c>
      <c r="AC16" s="7">
        <v>20.502511534806146</v>
      </c>
      <c r="AD16" s="7">
        <v>272519.99</v>
      </c>
      <c r="AE16" s="7">
        <v>22.32432883180423</v>
      </c>
      <c r="AF16" s="8">
        <v>4564110.21</v>
      </c>
      <c r="AG16" s="6">
        <v>19.791886620546791</v>
      </c>
      <c r="AH16" s="6"/>
    </row>
    <row r="17" spans="1:34" x14ac:dyDescent="0.3">
      <c r="A17" s="3" t="s">
        <v>23</v>
      </c>
      <c r="B17" s="3"/>
      <c r="C17" s="3"/>
      <c r="D17" s="3"/>
      <c r="E17" s="3"/>
      <c r="F17" s="5">
        <v>1483203.54</v>
      </c>
      <c r="G17" s="5"/>
      <c r="H17" s="7">
        <v>22.59758501520297</v>
      </c>
      <c r="I17" s="5">
        <v>1194882.8799999999</v>
      </c>
      <c r="J17" s="5"/>
      <c r="K17" s="5">
        <v>22.216031926074628</v>
      </c>
      <c r="L17" s="5"/>
      <c r="M17" s="5">
        <v>1346294.45</v>
      </c>
      <c r="N17" s="5"/>
      <c r="O17" s="5"/>
      <c r="P17" s="7">
        <v>22.058455481265632</v>
      </c>
      <c r="Q17" s="5">
        <v>1289565.1100000001</v>
      </c>
      <c r="R17" s="5"/>
      <c r="S17" s="5">
        <v>21.98230584882992</v>
      </c>
      <c r="T17" s="5"/>
      <c r="U17" s="7">
        <v>1341430.8899999999</v>
      </c>
      <c r="V17" s="5">
        <v>22.343118705131353</v>
      </c>
      <c r="W17" s="5"/>
      <c r="X17" s="5">
        <v>1293900.44</v>
      </c>
      <c r="Y17" s="5"/>
      <c r="Z17" s="5">
        <v>22.810673624935159</v>
      </c>
      <c r="AA17" s="5"/>
      <c r="AB17" s="7">
        <v>1123459.22</v>
      </c>
      <c r="AC17" s="7">
        <v>23.913464478043092</v>
      </c>
      <c r="AD17" s="7">
        <v>1216895.8999999999</v>
      </c>
      <c r="AE17" s="7">
        <v>23.501509496416251</v>
      </c>
      <c r="AF17" s="8">
        <v>10289632.43</v>
      </c>
      <c r="AG17" s="6">
        <v>22.649822497109351</v>
      </c>
      <c r="AH17" s="6"/>
    </row>
    <row r="18" spans="1:34" x14ac:dyDescent="0.3">
      <c r="A18" s="3" t="s">
        <v>24</v>
      </c>
      <c r="B18" s="3"/>
      <c r="C18" s="3"/>
      <c r="D18" s="3"/>
      <c r="E18" s="3"/>
      <c r="F18" s="5">
        <v>1237186.92</v>
      </c>
      <c r="G18" s="5"/>
      <c r="H18" s="7">
        <v>22.494289803839827</v>
      </c>
      <c r="I18" s="5">
        <v>1155348.26</v>
      </c>
      <c r="J18" s="5"/>
      <c r="K18" s="5">
        <v>22.996460080357068</v>
      </c>
      <c r="L18" s="5"/>
      <c r="M18" s="5">
        <v>1405177.37</v>
      </c>
      <c r="N18" s="5"/>
      <c r="O18" s="5"/>
      <c r="P18" s="7">
        <v>23.057885795584649</v>
      </c>
      <c r="Q18" s="5">
        <v>1208808.8500000001</v>
      </c>
      <c r="R18" s="5"/>
      <c r="S18" s="5">
        <v>23.673380129538263</v>
      </c>
      <c r="T18" s="5"/>
      <c r="U18" s="7">
        <v>1290111.83</v>
      </c>
      <c r="V18" s="5">
        <v>23.031204573947669</v>
      </c>
      <c r="W18" s="5"/>
      <c r="X18" s="5">
        <v>1271614.6200000001</v>
      </c>
      <c r="Y18" s="5"/>
      <c r="Z18" s="5">
        <v>23.740584910859234</v>
      </c>
      <c r="AA18" s="5"/>
      <c r="AB18" s="7">
        <v>1379163.28</v>
      </c>
      <c r="AC18" s="7">
        <v>22.300400595062246</v>
      </c>
      <c r="AD18" s="7">
        <v>1322746.27</v>
      </c>
      <c r="AE18" s="7">
        <v>23.088264395559399</v>
      </c>
      <c r="AF18" s="8">
        <v>10270157.4</v>
      </c>
      <c r="AG18" s="6">
        <v>23.038895739806286</v>
      </c>
      <c r="AH18" s="6"/>
    </row>
    <row r="19" spans="1:34" x14ac:dyDescent="0.3">
      <c r="A19" s="3" t="s">
        <v>25</v>
      </c>
      <c r="B19" s="3"/>
      <c r="C19" s="3"/>
      <c r="D19" s="3"/>
      <c r="E19" s="3"/>
      <c r="F19" s="5">
        <v>5181854.32</v>
      </c>
      <c r="G19" s="5"/>
      <c r="H19" s="7">
        <v>16.236221469074415</v>
      </c>
      <c r="I19" s="5">
        <v>3809182</v>
      </c>
      <c r="J19" s="5"/>
      <c r="K19" s="5">
        <v>20.1807571100567</v>
      </c>
      <c r="L19" s="5"/>
      <c r="M19" s="5">
        <v>5369984.7699999996</v>
      </c>
      <c r="N19" s="5"/>
      <c r="O19" s="5"/>
      <c r="P19" s="7">
        <v>20.465444450413219</v>
      </c>
      <c r="Q19" s="5">
        <v>4009126.15</v>
      </c>
      <c r="R19" s="5"/>
      <c r="S19" s="5">
        <v>21.55232388733889</v>
      </c>
      <c r="T19" s="5"/>
      <c r="U19" s="7">
        <v>4281424.04</v>
      </c>
      <c r="V19" s="5">
        <v>20.826613436776046</v>
      </c>
      <c r="W19" s="5"/>
      <c r="X19" s="5">
        <v>4223914.34</v>
      </c>
      <c r="Y19" s="5"/>
      <c r="Z19" s="5">
        <v>20.491529752471259</v>
      </c>
      <c r="AA19" s="5"/>
      <c r="AB19" s="7">
        <v>3755329.24</v>
      </c>
      <c r="AC19" s="7">
        <v>20.619202728014336</v>
      </c>
      <c r="AD19" s="7">
        <v>4333686.9400000004</v>
      </c>
      <c r="AE19" s="7">
        <v>20.431192090215912</v>
      </c>
      <c r="AF19" s="8">
        <v>34964501.799999997</v>
      </c>
      <c r="AG19" s="6">
        <v>19.991914669294673</v>
      </c>
      <c r="AH19" s="6"/>
    </row>
    <row r="20" spans="1:34" x14ac:dyDescent="0.3">
      <c r="A20" s="3" t="s">
        <v>26</v>
      </c>
      <c r="B20" s="3"/>
      <c r="C20" s="3"/>
      <c r="D20" s="3"/>
      <c r="E20" s="3"/>
      <c r="F20" s="5">
        <v>751238.71</v>
      </c>
      <c r="G20" s="5"/>
      <c r="H20" s="7">
        <v>17.355904077413687</v>
      </c>
      <c r="I20" s="5">
        <v>681046.15</v>
      </c>
      <c r="J20" s="5"/>
      <c r="K20" s="5">
        <v>18.39363676015201</v>
      </c>
      <c r="L20" s="5"/>
      <c r="M20" s="5">
        <v>774485.91</v>
      </c>
      <c r="N20" s="5"/>
      <c r="O20" s="5"/>
      <c r="P20" s="7">
        <v>19.08982611446088</v>
      </c>
      <c r="Q20" s="5">
        <v>751513.77</v>
      </c>
      <c r="R20" s="5"/>
      <c r="S20" s="5">
        <v>20.040822179479161</v>
      </c>
      <c r="T20" s="5"/>
      <c r="U20" s="7">
        <v>806605.79</v>
      </c>
      <c r="V20" s="5">
        <v>19.89974727307623</v>
      </c>
      <c r="W20" s="5"/>
      <c r="X20" s="5">
        <v>799886.75</v>
      </c>
      <c r="Y20" s="5"/>
      <c r="Z20" s="5">
        <v>19.934542908730517</v>
      </c>
      <c r="AA20" s="5"/>
      <c r="AB20" s="7">
        <v>784678.28</v>
      </c>
      <c r="AC20" s="7">
        <v>20.489054342118401</v>
      </c>
      <c r="AD20" s="7">
        <v>810320.42</v>
      </c>
      <c r="AE20" s="7">
        <v>19.601796509089574</v>
      </c>
      <c r="AF20" s="8">
        <v>6159775.7800000003</v>
      </c>
      <c r="AG20" s="6">
        <v>19.378753698726353</v>
      </c>
      <c r="AH20" s="6"/>
    </row>
    <row r="21" spans="1:34" x14ac:dyDescent="0.3">
      <c r="A21" s="9" t="s">
        <v>27</v>
      </c>
      <c r="B21" s="9"/>
      <c r="C21" s="9"/>
      <c r="D21" s="9"/>
      <c r="E21" s="9"/>
      <c r="F21" s="6">
        <v>27813865.710000001</v>
      </c>
      <c r="G21" s="6"/>
      <c r="H21" s="8">
        <v>19.760259586728264</v>
      </c>
      <c r="I21" s="6">
        <v>25189516.219999999</v>
      </c>
      <c r="J21" s="6"/>
      <c r="K21" s="6">
        <v>20.109851459862611</v>
      </c>
      <c r="L21" s="6"/>
      <c r="M21" s="6">
        <v>30603215.170000002</v>
      </c>
      <c r="N21" s="6"/>
      <c r="O21" s="6"/>
      <c r="P21" s="8">
        <v>20.618688613429111</v>
      </c>
      <c r="Q21" s="6">
        <v>24985877.68</v>
      </c>
      <c r="R21" s="6"/>
      <c r="S21" s="6">
        <v>21.384533479393866</v>
      </c>
      <c r="T21" s="6"/>
      <c r="U21" s="8">
        <v>27299508.57</v>
      </c>
      <c r="V21" s="6">
        <v>20.77467986157232</v>
      </c>
      <c r="W21" s="6"/>
      <c r="X21" s="6">
        <v>26393154.199999999</v>
      </c>
      <c r="Y21" s="6"/>
      <c r="Z21" s="6">
        <v>20.766071297382105</v>
      </c>
      <c r="AA21" s="6"/>
      <c r="AB21" s="8">
        <v>25529240.25</v>
      </c>
      <c r="AC21" s="8">
        <v>20.331604087591284</v>
      </c>
      <c r="AD21" s="8">
        <v>26859560.84</v>
      </c>
      <c r="AE21" s="8">
        <v>20.542550661822364</v>
      </c>
      <c r="AF21" s="8">
        <v>214673938.63999999</v>
      </c>
      <c r="AG21" s="6">
        <v>20.531188524524243</v>
      </c>
      <c r="AH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18"/>
  <sheetViews>
    <sheetView showGridLines="0" workbookViewId="0">
      <selection activeCell="P30" sqref="P30"/>
    </sheetView>
  </sheetViews>
  <sheetFormatPr defaultRowHeight="16.5" x14ac:dyDescent="0.3"/>
  <cols>
    <col min="1" max="1" width="55.28515625" style="1" customWidth="1"/>
    <col min="2" max="2" width="12.28515625" style="1" bestFit="1" customWidth="1"/>
    <col min="3" max="3" width="0.5703125" style="1" customWidth="1"/>
    <col min="4" max="4" width="9.7109375" style="1" bestFit="1" customWidth="1"/>
    <col min="5" max="5" width="2.85546875" style="1" customWidth="1"/>
    <col min="6" max="6" width="12.28515625" style="1" bestFit="1" customWidth="1"/>
    <col min="7" max="7" width="1.140625" style="1" customWidth="1"/>
    <col min="8" max="8" width="9.7109375" style="1" bestFit="1" customWidth="1"/>
    <col min="9" max="9" width="3.42578125" style="1" customWidth="1"/>
    <col min="10" max="10" width="12.28515625" style="1" bestFit="1" customWidth="1"/>
    <col min="11" max="11" width="0.85546875" style="1" customWidth="1"/>
    <col min="12" max="12" width="3.7109375" style="1" customWidth="1"/>
    <col min="13" max="13" width="9.7109375" style="1" bestFit="1" customWidth="1"/>
    <col min="14" max="14" width="12.28515625" style="1" bestFit="1" customWidth="1"/>
    <col min="15" max="15" width="3.42578125" style="1" customWidth="1"/>
    <col min="16" max="16" width="9.7109375" style="1" bestFit="1" customWidth="1"/>
    <col min="17" max="17" width="1.140625" style="1" customWidth="1"/>
    <col min="18" max="18" width="12.28515625" style="1" bestFit="1" customWidth="1"/>
    <col min="19" max="19" width="9.7109375" style="1" bestFit="1" customWidth="1"/>
    <col min="20" max="20" width="0.85546875" style="1" customWidth="1"/>
    <col min="21" max="21" width="12.28515625" style="1" bestFit="1" customWidth="1"/>
    <col min="22" max="22" width="1.28515625" style="1" customWidth="1"/>
    <col min="23" max="23" width="9.7109375" style="1" bestFit="1" customWidth="1"/>
    <col min="24" max="24" width="3.28515625" style="1" customWidth="1"/>
    <col min="25" max="25" width="12.28515625" style="1" bestFit="1" customWidth="1"/>
    <col min="26" max="26" width="9.7109375" style="1" bestFit="1" customWidth="1"/>
    <col min="27" max="27" width="12.28515625" style="1" bestFit="1" customWidth="1"/>
    <col min="28" max="28" width="9.7109375" style="1" bestFit="1" customWidth="1"/>
    <col min="29" max="29" width="13.42578125" style="1" bestFit="1" customWidth="1"/>
    <col min="30" max="30" width="9.7109375" style="1" bestFit="1" customWidth="1"/>
    <col min="31" max="31" width="3" style="1" customWidth="1"/>
    <col min="32" max="16384" width="9.140625" style="1"/>
  </cols>
  <sheetData>
    <row r="1" spans="1:31" x14ac:dyDescent="0.3">
      <c r="B1" s="2" t="s">
        <v>3</v>
      </c>
      <c r="C1" s="2"/>
      <c r="D1" s="2"/>
      <c r="E1" s="2"/>
      <c r="F1" s="2" t="s">
        <v>4</v>
      </c>
      <c r="G1" s="2"/>
      <c r="H1" s="2"/>
      <c r="I1" s="2"/>
      <c r="J1" s="2" t="s">
        <v>5</v>
      </c>
      <c r="K1" s="2"/>
      <c r="L1" s="2"/>
      <c r="M1" s="2"/>
      <c r="N1" s="2" t="s">
        <v>6</v>
      </c>
      <c r="O1" s="2"/>
      <c r="P1" s="2"/>
      <c r="Q1" s="2"/>
      <c r="R1" s="2" t="s">
        <v>7</v>
      </c>
      <c r="S1" s="2"/>
      <c r="T1" s="2"/>
      <c r="U1" s="2" t="s">
        <v>8</v>
      </c>
      <c r="V1" s="2"/>
      <c r="W1" s="2"/>
      <c r="X1" s="2"/>
      <c r="Y1" s="2" t="s">
        <v>9</v>
      </c>
      <c r="Z1" s="2"/>
      <c r="AA1" s="2" t="s">
        <v>10</v>
      </c>
      <c r="AB1" s="2"/>
      <c r="AC1" s="2"/>
      <c r="AD1" s="2"/>
      <c r="AE1" s="2"/>
    </row>
    <row r="2" spans="1:31" x14ac:dyDescent="0.3">
      <c r="A2" s="3" t="s">
        <v>11</v>
      </c>
      <c r="B2" s="4" t="s">
        <v>0</v>
      </c>
      <c r="C2" s="4"/>
      <c r="D2" s="4" t="s">
        <v>1</v>
      </c>
      <c r="E2" s="4"/>
      <c r="F2" s="4" t="s">
        <v>0</v>
      </c>
      <c r="G2" s="4"/>
      <c r="H2" s="4" t="s">
        <v>1</v>
      </c>
      <c r="I2" s="4"/>
      <c r="J2" s="4" t="s">
        <v>0</v>
      </c>
      <c r="K2" s="4"/>
      <c r="L2" s="4"/>
      <c r="M2" s="4" t="s">
        <v>1</v>
      </c>
      <c r="N2" s="4" t="s">
        <v>0</v>
      </c>
      <c r="O2" s="4"/>
      <c r="P2" s="4" t="s">
        <v>1</v>
      </c>
      <c r="Q2" s="4"/>
      <c r="R2" s="4" t="s">
        <v>0</v>
      </c>
      <c r="S2" s="4" t="s">
        <v>1</v>
      </c>
      <c r="T2" s="4"/>
      <c r="U2" s="4" t="s">
        <v>0</v>
      </c>
      <c r="V2" s="4"/>
      <c r="W2" s="4" t="s">
        <v>1</v>
      </c>
      <c r="X2" s="4"/>
      <c r="Y2" s="4" t="s">
        <v>0</v>
      </c>
      <c r="Z2" s="4" t="s">
        <v>1</v>
      </c>
      <c r="AA2" s="4" t="s">
        <v>0</v>
      </c>
      <c r="AB2" s="4" t="s">
        <v>1</v>
      </c>
      <c r="AC2" s="4" t="s">
        <v>0</v>
      </c>
      <c r="AD2" s="4" t="s">
        <v>1</v>
      </c>
      <c r="AE2" s="4"/>
    </row>
    <row r="3" spans="1:31" x14ac:dyDescent="0.3">
      <c r="A3" s="3" t="s">
        <v>12</v>
      </c>
      <c r="B3" s="5">
        <v>4339520.93</v>
      </c>
      <c r="C3" s="5"/>
      <c r="D3" s="5">
        <v>20.879691593053312</v>
      </c>
      <c r="E3" s="5"/>
      <c r="F3" s="5">
        <v>4097494.72</v>
      </c>
      <c r="G3" s="5"/>
      <c r="H3" s="5">
        <v>20.915924162557555</v>
      </c>
      <c r="I3" s="5"/>
      <c r="J3" s="5">
        <v>4857848.5599999996</v>
      </c>
      <c r="K3" s="5"/>
      <c r="L3" s="5"/>
      <c r="M3" s="5">
        <v>20.610167137445718</v>
      </c>
      <c r="N3" s="5">
        <v>4536303.8</v>
      </c>
      <c r="O3" s="5"/>
      <c r="P3" s="5">
        <v>21.395661622133861</v>
      </c>
      <c r="Q3" s="5"/>
      <c r="R3" s="5">
        <v>4165200.58</v>
      </c>
      <c r="S3" s="5">
        <v>21.493453059588333</v>
      </c>
      <c r="T3" s="5"/>
      <c r="U3" s="5">
        <v>4474447.37</v>
      </c>
      <c r="V3" s="5"/>
      <c r="W3" s="5">
        <v>20.31772468697072</v>
      </c>
      <c r="X3" s="5"/>
      <c r="Y3" s="5">
        <v>3998024.87</v>
      </c>
      <c r="Z3" s="5">
        <v>20.862785050659255</v>
      </c>
      <c r="AA3" s="5">
        <v>4170993.18</v>
      </c>
      <c r="AB3" s="5">
        <v>21.066094056763717</v>
      </c>
      <c r="AC3" s="6">
        <v>34639834.009999998</v>
      </c>
      <c r="AD3" s="6">
        <v>20.935453681176572</v>
      </c>
      <c r="AE3" s="6"/>
    </row>
    <row r="4" spans="1:31" x14ac:dyDescent="0.3">
      <c r="A4" s="3" t="s">
        <v>13</v>
      </c>
      <c r="B4" s="5">
        <v>880612.71</v>
      </c>
      <c r="C4" s="5"/>
      <c r="D4" s="5">
        <v>21.290370871435641</v>
      </c>
      <c r="E4" s="5"/>
      <c r="F4" s="5">
        <v>838506.03</v>
      </c>
      <c r="G4" s="5"/>
      <c r="H4" s="5">
        <v>21.008924050313627</v>
      </c>
      <c r="I4" s="5"/>
      <c r="J4" s="5">
        <v>993751.85</v>
      </c>
      <c r="K4" s="5"/>
      <c r="L4" s="5"/>
      <c r="M4" s="5">
        <v>20.923204610889528</v>
      </c>
      <c r="N4" s="5">
        <v>892515.91</v>
      </c>
      <c r="O4" s="5"/>
      <c r="P4" s="5">
        <v>21.889880271153935</v>
      </c>
      <c r="Q4" s="5"/>
      <c r="R4" s="5">
        <v>820045.84</v>
      </c>
      <c r="S4" s="5">
        <v>22.075121227369436</v>
      </c>
      <c r="T4" s="5"/>
      <c r="U4" s="5">
        <v>873482.82</v>
      </c>
      <c r="V4" s="5"/>
      <c r="W4" s="5">
        <v>20.274722838853314</v>
      </c>
      <c r="X4" s="5"/>
      <c r="Y4" s="5">
        <v>713583.61</v>
      </c>
      <c r="Z4" s="5">
        <v>21.762583980873664</v>
      </c>
      <c r="AA4" s="5">
        <v>729395.84</v>
      </c>
      <c r="AB4" s="5">
        <v>21.958142453897185</v>
      </c>
      <c r="AC4" s="6">
        <v>6741894.6100000003</v>
      </c>
      <c r="AD4" s="6">
        <v>21.366702259974957</v>
      </c>
      <c r="AE4" s="6"/>
    </row>
    <row r="5" spans="1:31" x14ac:dyDescent="0.3">
      <c r="A5" s="3" t="s">
        <v>14</v>
      </c>
      <c r="B5" s="5">
        <v>749833.43</v>
      </c>
      <c r="C5" s="5"/>
      <c r="D5" s="5">
        <v>19.906908551676604</v>
      </c>
      <c r="E5" s="5"/>
      <c r="F5" s="5">
        <v>674947.1</v>
      </c>
      <c r="G5" s="5"/>
      <c r="H5" s="5">
        <v>21.007130914407959</v>
      </c>
      <c r="I5" s="5"/>
      <c r="J5" s="5">
        <v>847220.14</v>
      </c>
      <c r="K5" s="5"/>
      <c r="L5" s="5"/>
      <c r="M5" s="5">
        <v>22.156906220383288</v>
      </c>
      <c r="N5" s="5">
        <v>609605.32999999996</v>
      </c>
      <c r="O5" s="5"/>
      <c r="P5" s="5">
        <v>21.558265000734163</v>
      </c>
      <c r="Q5" s="5"/>
      <c r="R5" s="5">
        <v>760366.93</v>
      </c>
      <c r="S5" s="5">
        <v>21.385860153071096</v>
      </c>
      <c r="T5" s="5"/>
      <c r="U5" s="5">
        <v>803762.26</v>
      </c>
      <c r="V5" s="5"/>
      <c r="W5" s="5">
        <v>21.188136514396682</v>
      </c>
      <c r="X5" s="5"/>
      <c r="Y5" s="5">
        <v>830712.53</v>
      </c>
      <c r="Z5" s="5">
        <v>21.255136491079533</v>
      </c>
      <c r="AA5" s="5">
        <v>871754.06</v>
      </c>
      <c r="AB5" s="5">
        <v>20.724965995569899</v>
      </c>
      <c r="AC5" s="6">
        <v>6148201.7800000003</v>
      </c>
      <c r="AD5" s="6">
        <v>21.150035324637635</v>
      </c>
      <c r="AE5" s="6"/>
    </row>
    <row r="6" spans="1:31" x14ac:dyDescent="0.3">
      <c r="A6" s="3" t="s">
        <v>15</v>
      </c>
      <c r="B6" s="5">
        <v>2378509.17</v>
      </c>
      <c r="C6" s="5"/>
      <c r="D6" s="5">
        <v>18.280791694404105</v>
      </c>
      <c r="E6" s="5"/>
      <c r="F6" s="5">
        <v>2123463.44</v>
      </c>
      <c r="G6" s="5"/>
      <c r="H6" s="5">
        <v>19.71002030060852</v>
      </c>
      <c r="I6" s="5"/>
      <c r="J6" s="5">
        <v>2550865.96</v>
      </c>
      <c r="K6" s="5"/>
      <c r="L6" s="5"/>
      <c r="M6" s="5">
        <v>19.185721977331923</v>
      </c>
      <c r="N6" s="5">
        <v>2289494.36</v>
      </c>
      <c r="O6" s="5"/>
      <c r="P6" s="5">
        <v>20.557757967134716</v>
      </c>
      <c r="Q6" s="5"/>
      <c r="R6" s="5">
        <v>2211785.0099999998</v>
      </c>
      <c r="S6" s="5">
        <v>20.455419231727227</v>
      </c>
      <c r="T6" s="5"/>
      <c r="U6" s="5">
        <v>2307805.31</v>
      </c>
      <c r="V6" s="5"/>
      <c r="W6" s="5">
        <v>18.771342873805935</v>
      </c>
      <c r="X6" s="5"/>
      <c r="Y6" s="5">
        <v>1961755.67</v>
      </c>
      <c r="Z6" s="5">
        <v>19.550162263580969</v>
      </c>
      <c r="AA6" s="5">
        <v>2035672.77</v>
      </c>
      <c r="AB6" s="5">
        <v>19.520348209010038</v>
      </c>
      <c r="AC6" s="6">
        <v>17859351.690000001</v>
      </c>
      <c r="AD6" s="6">
        <v>19.485303701413365</v>
      </c>
      <c r="AE6" s="6"/>
    </row>
    <row r="7" spans="1:31" x14ac:dyDescent="0.3">
      <c r="A7" s="3" t="s">
        <v>16</v>
      </c>
      <c r="B7" s="5">
        <v>3433967.51</v>
      </c>
      <c r="C7" s="5"/>
      <c r="D7" s="5">
        <v>18.13688718621572</v>
      </c>
      <c r="E7" s="5"/>
      <c r="F7" s="5">
        <v>4936243.87</v>
      </c>
      <c r="G7" s="5"/>
      <c r="H7" s="5">
        <v>10.348459345871014</v>
      </c>
      <c r="I7" s="5"/>
      <c r="J7" s="5">
        <v>3873284.47</v>
      </c>
      <c r="K7" s="5"/>
      <c r="L7" s="5"/>
      <c r="M7" s="7">
        <v>18.926452409523097</v>
      </c>
      <c r="N7" s="5">
        <v>3758003.38</v>
      </c>
      <c r="O7" s="5"/>
      <c r="P7" s="5">
        <v>20.369281549182642</v>
      </c>
      <c r="Q7" s="5"/>
      <c r="R7" s="7">
        <v>3500685.25</v>
      </c>
      <c r="S7" s="5">
        <v>19.920840112660798</v>
      </c>
      <c r="T7" s="5"/>
      <c r="U7" s="5">
        <v>3481835.3</v>
      </c>
      <c r="V7" s="5"/>
      <c r="W7" s="5">
        <v>19.221391276031923</v>
      </c>
      <c r="X7" s="5"/>
      <c r="Y7" s="7">
        <v>3227422.41</v>
      </c>
      <c r="Z7" s="7">
        <v>19.565830460971483</v>
      </c>
      <c r="AA7" s="7">
        <v>3404972.33</v>
      </c>
      <c r="AB7" s="7">
        <v>19.555543131241862</v>
      </c>
      <c r="AC7" s="8">
        <v>29616414.52</v>
      </c>
      <c r="AD7" s="6">
        <v>17.882480536337386</v>
      </c>
      <c r="AE7" s="6"/>
    </row>
    <row r="8" spans="1:31" x14ac:dyDescent="0.3">
      <c r="A8" s="3" t="s">
        <v>17</v>
      </c>
      <c r="B8" s="5">
        <v>1884505.7</v>
      </c>
      <c r="C8" s="5"/>
      <c r="D8" s="5">
        <v>15.76354892956811</v>
      </c>
      <c r="E8" s="5"/>
      <c r="F8" s="5">
        <v>1811469.71</v>
      </c>
      <c r="G8" s="5"/>
      <c r="H8" s="5">
        <v>15.496349110910609</v>
      </c>
      <c r="I8" s="5"/>
      <c r="J8" s="5">
        <v>2135978.0699999998</v>
      </c>
      <c r="K8" s="5"/>
      <c r="L8" s="5"/>
      <c r="M8" s="7">
        <v>15.737477557529418</v>
      </c>
      <c r="N8" s="5">
        <v>1920417.67</v>
      </c>
      <c r="O8" s="5"/>
      <c r="P8" s="5">
        <v>16.769493581050003</v>
      </c>
      <c r="Q8" s="5"/>
      <c r="R8" s="7">
        <v>1709146.69</v>
      </c>
      <c r="S8" s="5">
        <v>16.549367204988119</v>
      </c>
      <c r="T8" s="5"/>
      <c r="U8" s="5">
        <v>2049389.79</v>
      </c>
      <c r="V8" s="5"/>
      <c r="W8" s="5">
        <v>15.424365688871712</v>
      </c>
      <c r="X8" s="5"/>
      <c r="Y8" s="7">
        <v>1664556.89</v>
      </c>
      <c r="Z8" s="7">
        <v>16.272266591020511</v>
      </c>
      <c r="AA8" s="7">
        <v>1676292.21</v>
      </c>
      <c r="AB8" s="7">
        <v>16.616795552608338</v>
      </c>
      <c r="AC8" s="8">
        <v>14851756.73</v>
      </c>
      <c r="AD8" s="6">
        <v>16.054232509637934</v>
      </c>
      <c r="AE8" s="6"/>
    </row>
    <row r="9" spans="1:31" x14ac:dyDescent="0.3">
      <c r="A9" s="3" t="s">
        <v>18</v>
      </c>
      <c r="B9" s="5">
        <v>730843.53</v>
      </c>
      <c r="C9" s="5"/>
      <c r="D9" s="5">
        <v>23.412880702385092</v>
      </c>
      <c r="E9" s="5"/>
      <c r="F9" s="5">
        <v>665269.18999999994</v>
      </c>
      <c r="G9" s="5"/>
      <c r="H9" s="5">
        <v>23.840436996638907</v>
      </c>
      <c r="I9" s="5"/>
      <c r="J9" s="5">
        <v>741794.57</v>
      </c>
      <c r="K9" s="5"/>
      <c r="L9" s="5"/>
      <c r="M9" s="5">
        <v>23.618059390755583</v>
      </c>
      <c r="N9" s="5">
        <v>871084.51</v>
      </c>
      <c r="O9" s="5"/>
      <c r="P9" s="5">
        <v>21.952112109076534</v>
      </c>
      <c r="Q9" s="5"/>
      <c r="R9" s="5">
        <v>822608.42</v>
      </c>
      <c r="S9" s="5">
        <v>22.92235670284046</v>
      </c>
      <c r="T9" s="5"/>
      <c r="U9" s="5">
        <v>820938.77</v>
      </c>
      <c r="V9" s="5"/>
      <c r="W9" s="5">
        <v>22.823374525240169</v>
      </c>
      <c r="X9" s="5"/>
      <c r="Y9" s="5">
        <v>789501.89</v>
      </c>
      <c r="Z9" s="5">
        <v>23.348611768364481</v>
      </c>
      <c r="AA9" s="5">
        <v>850281.98</v>
      </c>
      <c r="AB9" s="5">
        <v>22.877480056674848</v>
      </c>
      <c r="AC9" s="8">
        <v>6292322.8600000003</v>
      </c>
      <c r="AD9" s="6">
        <v>23.058599447009303</v>
      </c>
      <c r="AE9" s="6"/>
    </row>
    <row r="10" spans="1:31" x14ac:dyDescent="0.3">
      <c r="A10" s="3" t="s">
        <v>19</v>
      </c>
      <c r="B10" s="5">
        <v>1287474.3500000001</v>
      </c>
      <c r="C10" s="5"/>
      <c r="D10" s="5">
        <v>16.939632909968264</v>
      </c>
      <c r="E10" s="5"/>
      <c r="F10" s="5">
        <v>1435174.94</v>
      </c>
      <c r="G10" s="5"/>
      <c r="H10" s="5">
        <v>17.080880558017547</v>
      </c>
      <c r="I10" s="5"/>
      <c r="J10" s="5">
        <v>1812447.07</v>
      </c>
      <c r="K10" s="5"/>
      <c r="L10" s="5"/>
      <c r="M10" s="7">
        <v>16.572928493851133</v>
      </c>
      <c r="N10" s="5">
        <v>1571183.82</v>
      </c>
      <c r="O10" s="5"/>
      <c r="P10" s="5">
        <v>16.824537736138346</v>
      </c>
      <c r="Q10" s="5"/>
      <c r="R10" s="7">
        <v>1530967.75</v>
      </c>
      <c r="S10" s="5">
        <v>17.914606182919268</v>
      </c>
      <c r="T10" s="5"/>
      <c r="U10" s="5">
        <v>1571167.12</v>
      </c>
      <c r="V10" s="5"/>
      <c r="W10" s="5">
        <v>17.254654259821834</v>
      </c>
      <c r="X10" s="5"/>
      <c r="Y10" s="7">
        <v>1416986.85</v>
      </c>
      <c r="Z10" s="7">
        <v>18.811156673754596</v>
      </c>
      <c r="AA10" s="7">
        <v>1435424.09</v>
      </c>
      <c r="AB10" s="7">
        <v>18.34332126194148</v>
      </c>
      <c r="AC10" s="8">
        <v>12060825.99</v>
      </c>
      <c r="AD10" s="6">
        <v>17.438078334301547</v>
      </c>
      <c r="AE10" s="6"/>
    </row>
    <row r="11" spans="1:31" x14ac:dyDescent="0.3">
      <c r="A11" s="3" t="s">
        <v>20</v>
      </c>
      <c r="B11" s="5">
        <v>0</v>
      </c>
      <c r="C11" s="5"/>
      <c r="D11" s="5">
        <v>0</v>
      </c>
      <c r="E11" s="5"/>
      <c r="F11" s="5">
        <v>0</v>
      </c>
      <c r="G11" s="5"/>
      <c r="H11" s="5">
        <v>0</v>
      </c>
      <c r="I11" s="5"/>
      <c r="J11" s="5">
        <v>0</v>
      </c>
      <c r="K11" s="5"/>
      <c r="L11" s="5"/>
      <c r="M11" s="7">
        <v>0</v>
      </c>
      <c r="N11" s="5">
        <v>0</v>
      </c>
      <c r="O11" s="5"/>
      <c r="P11" s="5">
        <v>0</v>
      </c>
      <c r="Q11" s="5"/>
      <c r="R11" s="7">
        <v>1408032.19</v>
      </c>
      <c r="S11" s="5">
        <v>11.063779110050033</v>
      </c>
      <c r="T11" s="5"/>
      <c r="U11" s="5">
        <v>1161688.7</v>
      </c>
      <c r="V11" s="5"/>
      <c r="W11" s="5">
        <v>16.272385751880002</v>
      </c>
      <c r="X11" s="5"/>
      <c r="Y11" s="7">
        <v>1041349.82</v>
      </c>
      <c r="Z11" s="7">
        <v>17.73462330842867</v>
      </c>
      <c r="AA11" s="7">
        <v>1029230.74</v>
      </c>
      <c r="AB11" s="7">
        <v>18.164168289415841</v>
      </c>
      <c r="AC11" s="8">
        <v>4640301.45</v>
      </c>
      <c r="AD11" s="6">
        <v>15.439658761824623</v>
      </c>
      <c r="AE11" s="6"/>
    </row>
    <row r="12" spans="1:31" x14ac:dyDescent="0.3">
      <c r="A12" s="3" t="s">
        <v>21</v>
      </c>
      <c r="B12" s="5">
        <v>1294714.29</v>
      </c>
      <c r="C12" s="5"/>
      <c r="D12" s="5">
        <v>18.396673917918985</v>
      </c>
      <c r="E12" s="5"/>
      <c r="F12" s="5">
        <v>1187124.74</v>
      </c>
      <c r="G12" s="5"/>
      <c r="H12" s="5">
        <v>18.877690283836557</v>
      </c>
      <c r="I12" s="5"/>
      <c r="J12" s="5">
        <v>1412596.32</v>
      </c>
      <c r="K12" s="5"/>
      <c r="L12" s="5"/>
      <c r="M12" s="7">
        <v>18.493631549316227</v>
      </c>
      <c r="N12" s="5">
        <v>1194155.17</v>
      </c>
      <c r="O12" s="5"/>
      <c r="P12" s="5">
        <v>19.701932907094477</v>
      </c>
      <c r="Q12" s="5"/>
      <c r="R12" s="7">
        <v>1259702.53</v>
      </c>
      <c r="S12" s="5">
        <v>20.67243407060554</v>
      </c>
      <c r="T12" s="5"/>
      <c r="U12" s="5">
        <v>1252034.78</v>
      </c>
      <c r="V12" s="5"/>
      <c r="W12" s="5">
        <v>19.827624029741408</v>
      </c>
      <c r="X12" s="5"/>
      <c r="Y12" s="7">
        <v>1185870.1599999999</v>
      </c>
      <c r="Z12" s="7">
        <v>20.773413372674796</v>
      </c>
      <c r="AA12" s="7">
        <v>1162404.7</v>
      </c>
      <c r="AB12" s="7">
        <v>20.320683871976772</v>
      </c>
      <c r="AC12" s="8">
        <v>9948602.6899999995</v>
      </c>
      <c r="AD12" s="6">
        <v>19.60086643685235</v>
      </c>
      <c r="AE12" s="6"/>
    </row>
    <row r="13" spans="1:31" x14ac:dyDescent="0.3">
      <c r="A13" s="3" t="s">
        <v>22</v>
      </c>
      <c r="B13" s="5">
        <v>685218.67</v>
      </c>
      <c r="C13" s="5"/>
      <c r="D13" s="5">
        <v>19.946315838125074</v>
      </c>
      <c r="E13" s="5"/>
      <c r="F13" s="5">
        <v>696675.21</v>
      </c>
      <c r="G13" s="5"/>
      <c r="H13" s="5">
        <v>19.503350822544697</v>
      </c>
      <c r="I13" s="5"/>
      <c r="J13" s="5">
        <v>876627.69</v>
      </c>
      <c r="K13" s="5"/>
      <c r="L13" s="5"/>
      <c r="M13" s="7">
        <v>18.608227969618437</v>
      </c>
      <c r="N13" s="5">
        <v>748155.11</v>
      </c>
      <c r="O13" s="5"/>
      <c r="P13" s="5">
        <v>20.541001611283519</v>
      </c>
      <c r="Q13" s="5"/>
      <c r="R13" s="7">
        <v>705629.76</v>
      </c>
      <c r="S13" s="5">
        <v>18.071510617692766</v>
      </c>
      <c r="T13" s="5"/>
      <c r="U13" s="5">
        <v>724457.82</v>
      </c>
      <c r="V13" s="5"/>
      <c r="W13" s="5">
        <v>18.465326000622092</v>
      </c>
      <c r="X13" s="5"/>
      <c r="Y13" s="7">
        <v>668571.16</v>
      </c>
      <c r="Z13" s="7">
        <v>18.840021202829032</v>
      </c>
      <c r="AA13" s="7">
        <v>647776.91</v>
      </c>
      <c r="AB13" s="7">
        <v>18.89290485824819</v>
      </c>
      <c r="AC13" s="8">
        <v>5753112.3300000001</v>
      </c>
      <c r="AD13" s="6">
        <v>19.102505537207197</v>
      </c>
      <c r="AE13" s="6"/>
    </row>
    <row r="14" spans="1:31" x14ac:dyDescent="0.3">
      <c r="A14" s="3" t="s">
        <v>23</v>
      </c>
      <c r="B14" s="5">
        <v>1770716.95</v>
      </c>
      <c r="C14" s="5"/>
      <c r="D14" s="5">
        <v>21.011458155409873</v>
      </c>
      <c r="E14" s="5"/>
      <c r="F14" s="5">
        <v>1703452.31</v>
      </c>
      <c r="G14" s="5"/>
      <c r="H14" s="5">
        <v>20.591641676191042</v>
      </c>
      <c r="I14" s="5"/>
      <c r="J14" s="5">
        <v>1968782.81</v>
      </c>
      <c r="K14" s="5"/>
      <c r="L14" s="5"/>
      <c r="M14" s="7">
        <v>19.160173330647883</v>
      </c>
      <c r="N14" s="5">
        <v>1886325.12</v>
      </c>
      <c r="O14" s="5"/>
      <c r="P14" s="5">
        <v>20.950442408358533</v>
      </c>
      <c r="Q14" s="5"/>
      <c r="R14" s="7">
        <v>1637823.89</v>
      </c>
      <c r="S14" s="5">
        <v>21.037082979660287</v>
      </c>
      <c r="T14" s="5"/>
      <c r="U14" s="5">
        <v>1451931.28</v>
      </c>
      <c r="V14" s="5"/>
      <c r="W14" s="5">
        <v>21.006076017592235</v>
      </c>
      <c r="X14" s="5"/>
      <c r="Y14" s="7">
        <v>1354915.33</v>
      </c>
      <c r="Z14" s="7">
        <v>20.839284333730284</v>
      </c>
      <c r="AA14" s="7">
        <v>1291780.56</v>
      </c>
      <c r="AB14" s="7">
        <v>21.294297229554221</v>
      </c>
      <c r="AC14" s="8">
        <v>13065728.25</v>
      </c>
      <c r="AD14" s="6">
        <v>20.681681580971194</v>
      </c>
      <c r="AE14" s="6"/>
    </row>
    <row r="15" spans="1:31" x14ac:dyDescent="0.3">
      <c r="A15" s="3" t="s">
        <v>24</v>
      </c>
      <c r="B15" s="5">
        <v>1346956.92</v>
      </c>
      <c r="C15" s="5"/>
      <c r="D15" s="5">
        <v>22.198730030653095</v>
      </c>
      <c r="E15" s="5"/>
      <c r="F15" s="5">
        <v>1251212.3899999999</v>
      </c>
      <c r="G15" s="5"/>
      <c r="H15" s="5">
        <v>21.739297922073806</v>
      </c>
      <c r="I15" s="5"/>
      <c r="J15" s="5">
        <v>1480260.99</v>
      </c>
      <c r="K15" s="5"/>
      <c r="L15" s="5"/>
      <c r="M15" s="7">
        <v>21.01285873918761</v>
      </c>
      <c r="N15" s="5">
        <v>1376651.05</v>
      </c>
      <c r="O15" s="5"/>
      <c r="P15" s="5">
        <v>21.739067020651312</v>
      </c>
      <c r="Q15" s="5"/>
      <c r="R15" s="7">
        <v>1359090.63</v>
      </c>
      <c r="S15" s="5">
        <v>21.943876781786066</v>
      </c>
      <c r="T15" s="5"/>
      <c r="U15" s="5">
        <v>1314774.28</v>
      </c>
      <c r="V15" s="5"/>
      <c r="W15" s="5">
        <v>21.900167624209992</v>
      </c>
      <c r="X15" s="5"/>
      <c r="Y15" s="7">
        <v>1478233.38</v>
      </c>
      <c r="Z15" s="7">
        <v>19.189349600534658</v>
      </c>
      <c r="AA15" s="7">
        <v>1269707.95</v>
      </c>
      <c r="AB15" s="7">
        <v>22.36787871573144</v>
      </c>
      <c r="AC15" s="8">
        <v>10876887.59</v>
      </c>
      <c r="AD15" s="6">
        <v>21.469132554490251</v>
      </c>
      <c r="AE15" s="6"/>
    </row>
    <row r="16" spans="1:31" x14ac:dyDescent="0.3">
      <c r="A16" s="3" t="s">
        <v>25</v>
      </c>
      <c r="B16" s="5">
        <v>5371857.3300000001</v>
      </c>
      <c r="C16" s="5"/>
      <c r="D16" s="5">
        <v>12.795405180651008</v>
      </c>
      <c r="E16" s="5"/>
      <c r="F16" s="5">
        <v>3948151.45</v>
      </c>
      <c r="G16" s="5"/>
      <c r="H16" s="5">
        <v>18.456922775847392</v>
      </c>
      <c r="I16" s="5"/>
      <c r="J16" s="5">
        <v>4712244.8499999996</v>
      </c>
      <c r="K16" s="5"/>
      <c r="L16" s="5"/>
      <c r="M16" s="7">
        <v>18.173587482407648</v>
      </c>
      <c r="N16" s="5">
        <v>4005765.78</v>
      </c>
      <c r="O16" s="5"/>
      <c r="P16" s="5">
        <v>19.716706407132971</v>
      </c>
      <c r="Q16" s="5"/>
      <c r="R16" s="7">
        <v>3743704.25</v>
      </c>
      <c r="S16" s="5">
        <v>19.524264757292194</v>
      </c>
      <c r="T16" s="5"/>
      <c r="U16" s="5">
        <v>4070434.12</v>
      </c>
      <c r="V16" s="5"/>
      <c r="W16" s="5">
        <v>18.985148802752274</v>
      </c>
      <c r="X16" s="5"/>
      <c r="Y16" s="7">
        <v>3541750.4</v>
      </c>
      <c r="Z16" s="7">
        <v>19.351294752447828</v>
      </c>
      <c r="AA16" s="7">
        <v>3800923.04</v>
      </c>
      <c r="AB16" s="7">
        <v>19.053714021002644</v>
      </c>
      <c r="AC16" s="8">
        <v>33194831.219999999</v>
      </c>
      <c r="AD16" s="6">
        <v>18.001439512365142</v>
      </c>
      <c r="AE16" s="6"/>
    </row>
    <row r="17" spans="1:31" x14ac:dyDescent="0.3">
      <c r="A17" s="3" t="s">
        <v>26</v>
      </c>
      <c r="B17" s="5">
        <v>611258.41</v>
      </c>
      <c r="C17" s="5"/>
      <c r="D17" s="5">
        <v>16.78228958845736</v>
      </c>
      <c r="E17" s="5"/>
      <c r="F17" s="5">
        <v>603450.77</v>
      </c>
      <c r="G17" s="5"/>
      <c r="H17" s="5">
        <v>16.812201482483815</v>
      </c>
      <c r="I17" s="5"/>
      <c r="J17" s="5">
        <v>658096.38</v>
      </c>
      <c r="K17" s="5"/>
      <c r="L17" s="5"/>
      <c r="M17" s="7">
        <v>16.731554396333255</v>
      </c>
      <c r="N17" s="5">
        <v>627096.14</v>
      </c>
      <c r="O17" s="5"/>
      <c r="P17" s="5">
        <v>17.308345543316531</v>
      </c>
      <c r="Q17" s="5"/>
      <c r="R17" s="7">
        <v>774954.39</v>
      </c>
      <c r="S17" s="5">
        <v>16.003271766742298</v>
      </c>
      <c r="T17" s="5"/>
      <c r="U17" s="5">
        <v>824662.58</v>
      </c>
      <c r="V17" s="5"/>
      <c r="W17" s="5">
        <v>15.504653491128456</v>
      </c>
      <c r="X17" s="5"/>
      <c r="Y17" s="7">
        <v>695281.75</v>
      </c>
      <c r="Z17" s="7">
        <v>19.59995837658618</v>
      </c>
      <c r="AA17" s="7">
        <v>738971.82</v>
      </c>
      <c r="AB17" s="7">
        <v>18.930379916246331</v>
      </c>
      <c r="AC17" s="8">
        <v>5533772.2400000002</v>
      </c>
      <c r="AD17" s="6">
        <v>17.180513298465623</v>
      </c>
      <c r="AE17" s="6"/>
    </row>
    <row r="18" spans="1:31" x14ac:dyDescent="0.3">
      <c r="A18" s="9" t="s">
        <v>27</v>
      </c>
      <c r="B18" s="6">
        <v>26765989.899999999</v>
      </c>
      <c r="C18" s="6"/>
      <c r="D18" s="6">
        <v>18.017577970094056</v>
      </c>
      <c r="E18" s="6"/>
      <c r="F18" s="6">
        <v>25972635.870000001</v>
      </c>
      <c r="G18" s="6"/>
      <c r="H18" s="6">
        <v>17.71750665751739</v>
      </c>
      <c r="I18" s="6"/>
      <c r="J18" s="6">
        <v>28921799.73</v>
      </c>
      <c r="K18" s="6"/>
      <c r="L18" s="6"/>
      <c r="M18" s="8">
        <v>19.051992083965654</v>
      </c>
      <c r="N18" s="6">
        <v>26286757.149999999</v>
      </c>
      <c r="O18" s="6"/>
      <c r="P18" s="6">
        <v>20.135158390201052</v>
      </c>
      <c r="Q18" s="6"/>
      <c r="R18" s="8">
        <v>26409744.109999999</v>
      </c>
      <c r="S18" s="6">
        <v>19.598093849535598</v>
      </c>
      <c r="T18" s="6"/>
      <c r="U18" s="6">
        <v>27182812.300000001</v>
      </c>
      <c r="V18" s="6"/>
      <c r="W18" s="6">
        <v>19.122987069295991</v>
      </c>
      <c r="X18" s="6"/>
      <c r="Y18" s="8">
        <v>24568516.719999999</v>
      </c>
      <c r="Z18" s="8">
        <v>19.729979019262505</v>
      </c>
      <c r="AA18" s="8">
        <v>25115582.18</v>
      </c>
      <c r="AB18" s="8">
        <v>19.859527155105749</v>
      </c>
      <c r="AC18" s="8">
        <v>211223837.96000001</v>
      </c>
      <c r="AD18" s="6">
        <v>19.143917342491225</v>
      </c>
      <c r="AE18" s="6"/>
    </row>
  </sheetData>
  <pageMargins left="9.9999997764825804E-3" right="9.9999997764825804E-3" top="1.34740209579468" bottom="9.9999997764825804E-3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A6B1-2CCB-4399-A6CD-5F210716849F}">
  <dimension ref="A1:C14"/>
  <sheetViews>
    <sheetView workbookViewId="0">
      <selection sqref="A1:C14"/>
    </sheetView>
  </sheetViews>
  <sheetFormatPr defaultRowHeight="15" x14ac:dyDescent="0.25"/>
  <cols>
    <col min="1" max="1" width="20.28515625" bestFit="1" customWidth="1"/>
    <col min="2" max="2" width="21.42578125" bestFit="1" customWidth="1"/>
    <col min="3" max="3" width="8.42578125" bestFit="1" customWidth="1"/>
  </cols>
  <sheetData>
    <row r="1" spans="1:3" ht="19.5" thickBot="1" x14ac:dyDescent="0.3">
      <c r="A1" s="10" t="s">
        <v>54</v>
      </c>
      <c r="B1" s="11">
        <v>35267055.520000003</v>
      </c>
      <c r="C1" s="11">
        <v>19.952983007638402</v>
      </c>
    </row>
    <row r="2" spans="1:3" ht="19.5" thickBot="1" x14ac:dyDescent="0.3">
      <c r="A2" s="10" t="s">
        <v>29</v>
      </c>
      <c r="B2" s="11">
        <v>6760597.2412</v>
      </c>
      <c r="C2" s="11">
        <v>21.322192687581751</v>
      </c>
    </row>
    <row r="3" spans="1:3" ht="19.5" thickBot="1" x14ac:dyDescent="0.3">
      <c r="A3" s="10" t="s">
        <v>55</v>
      </c>
      <c r="B3" s="11">
        <v>5358873.05</v>
      </c>
      <c r="C3" s="11">
        <v>20.339440528452151</v>
      </c>
    </row>
    <row r="4" spans="1:3" ht="19.5" thickBot="1" x14ac:dyDescent="0.3">
      <c r="A4" s="10" t="s">
        <v>56</v>
      </c>
      <c r="B4" s="11">
        <v>16316872.6941</v>
      </c>
      <c r="C4" s="11">
        <v>20.718004816709527</v>
      </c>
    </row>
    <row r="5" spans="1:3" ht="19.5" thickBot="1" x14ac:dyDescent="0.3">
      <c r="A5" s="10" t="s">
        <v>32</v>
      </c>
      <c r="B5" s="11">
        <v>27933389.52</v>
      </c>
      <c r="C5" s="11">
        <v>19.766338919760283</v>
      </c>
    </row>
    <row r="6" spans="1:3" ht="19.5" thickBot="1" x14ac:dyDescent="0.3">
      <c r="A6" s="10" t="s">
        <v>57</v>
      </c>
      <c r="B6" s="11">
        <v>14578191.25</v>
      </c>
      <c r="C6" s="11">
        <v>16.357191620736899</v>
      </c>
    </row>
    <row r="7" spans="1:3" ht="19.5" thickBot="1" x14ac:dyDescent="0.3">
      <c r="A7" s="10" t="s">
        <v>34</v>
      </c>
      <c r="B7" s="11">
        <v>5483037.4458999997</v>
      </c>
      <c r="C7" s="11">
        <v>20.832366422267043</v>
      </c>
    </row>
    <row r="8" spans="1:3" ht="19.5" thickBot="1" x14ac:dyDescent="0.3">
      <c r="A8" s="10" t="s">
        <v>58</v>
      </c>
      <c r="B8" s="11">
        <v>8600547.9149999991</v>
      </c>
      <c r="C8" s="11">
        <v>17.650149434694477</v>
      </c>
    </row>
    <row r="9" spans="1:3" ht="19.5" thickBot="1" x14ac:dyDescent="0.3">
      <c r="A9" s="10" t="s">
        <v>37</v>
      </c>
      <c r="B9" s="11">
        <v>9299600.1799999997</v>
      </c>
      <c r="C9" s="11">
        <v>19.169944322273004</v>
      </c>
    </row>
    <row r="10" spans="1:3" ht="19.5" thickBot="1" x14ac:dyDescent="0.3">
      <c r="A10" s="10" t="s">
        <v>38</v>
      </c>
      <c r="B10" s="11">
        <v>5597125.0219000001</v>
      </c>
      <c r="C10" s="11">
        <v>19.361897602067927</v>
      </c>
    </row>
    <row r="11" spans="1:3" ht="19.5" thickBot="1" x14ac:dyDescent="0.3">
      <c r="A11" s="10" t="s">
        <v>39</v>
      </c>
      <c r="B11" s="11">
        <v>11556513.300000001</v>
      </c>
      <c r="C11" s="11">
        <v>20.921980360633516</v>
      </c>
    </row>
    <row r="12" spans="1:3" ht="19.5" thickBot="1" x14ac:dyDescent="0.3">
      <c r="A12" s="10" t="s">
        <v>40</v>
      </c>
      <c r="B12" s="11">
        <v>10140998.983100001</v>
      </c>
      <c r="C12" s="11">
        <v>21.740514133510384</v>
      </c>
    </row>
    <row r="13" spans="1:3" ht="19.5" thickBot="1" x14ac:dyDescent="0.3">
      <c r="A13" s="10" t="s">
        <v>41</v>
      </c>
      <c r="B13" s="11">
        <v>26685848.5</v>
      </c>
      <c r="C13" s="11">
        <v>17.485720861751872</v>
      </c>
    </row>
    <row r="14" spans="1:3" ht="19.5" thickBot="1" x14ac:dyDescent="0.3">
      <c r="A14" s="12" t="s">
        <v>27</v>
      </c>
      <c r="B14" s="13">
        <v>186136308.79120001</v>
      </c>
      <c r="C14" s="13">
        <v>19.415301102666191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Vs 2025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2025-09-29T07:23:23Z</cp:lastPrinted>
  <dcterms:created xsi:type="dcterms:W3CDTF">2025-09-29T06:52:31Z</dcterms:created>
  <dcterms:modified xsi:type="dcterms:W3CDTF">2025-09-29T07:37:54Z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